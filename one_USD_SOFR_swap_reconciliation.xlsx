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codeName="ThisWorkbook" defaultThemeVersion="124226"/>
  <xr:revisionPtr revIDLastSave="0" documentId="8_{E8717A9A-84D5-4DD3-9CC2-5BFC5905285A}" xr6:coauthVersionLast="47" xr6:coauthVersionMax="47" xr10:uidLastSave="{00000000-0000-0000-0000-000000000000}"/>
  <workbookProtection lockStructure="1"/>
  <bookViews>
    <workbookView xWindow="-28920" yWindow="1680" windowWidth="29040" windowHeight="16440" xr2:uid="{AF39A7E2-5F42-5141-B166-88051D890E9C}"/>
  </bookViews>
  <sheets>
    <sheet name="BIS Data" sheetId="25" r:id="rId1"/>
    <sheet name="Consolidated View" sheetId="17" r:id="rId2"/>
    <sheet name="GIRR Delta Aggregations" sheetId="24" r:id="rId3"/>
    <sheet name="Trading System Data" sheetId="30" r:id="rId4"/>
    <sheet name="Pivot Data" sheetId="33" r:id="rId5"/>
    <sheet name="Misc" sheetId="18" r:id="rId6"/>
  </sheets>
  <definedNames>
    <definedName name="_xlnm._FilterDatabase" localSheetId="3" hidden="1">'Trading System Data'!$B$1:$H$8</definedName>
    <definedName name="CorrelationScenario">Misc!$B$3:$B$6</definedName>
    <definedName name="_xlnm.Print_Area" localSheetId="0">'BIS Data'!$B$29:$L$40</definedName>
    <definedName name="_xlnm.Print_Area" localSheetId="1">'Consolidated View'!$A$1:$E$5</definedName>
    <definedName name="_xlnm.Print_Area" localSheetId="2">'GIRR Delta Aggregations'!$A$1:$L$15</definedName>
    <definedName name="_xlnm.Print_Area" localSheetId="5">Misc!$B$2:$B$6</definedName>
    <definedName name="_xlnm.Print_Area" localSheetId="4">'Pivot Data'!$A$1:$F$12</definedName>
    <definedName name="_xlnm.Print_Area" localSheetId="3">'Trading System Data'!$B$1:$I$10</definedName>
    <definedName name="solver_adj" localSheetId="2" hidden="1">'GIRR Delta Aggregations'!#REF!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'GIRR Delta Aggregations'!#REF!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24" l="1"/>
  <c r="B31" i="24"/>
  <c r="D2" i="17" a="1"/>
  <c r="D2" i="17" s="1"/>
  <c r="H7" i="25"/>
  <c r="H3" i="30"/>
  <c r="H9" i="30" l="1"/>
  <c r="H8" i="30"/>
  <c r="H7" i="30"/>
  <c r="H6" i="30"/>
  <c r="H5" i="30"/>
  <c r="H4" i="30"/>
  <c r="E24" i="24"/>
  <c r="C24" i="24" l="1"/>
  <c r="D24" i="24"/>
  <c r="B25" i="24"/>
  <c r="C25" i="24"/>
  <c r="D25" i="24"/>
  <c r="E25" i="24"/>
  <c r="B26" i="24"/>
  <c r="C26" i="24"/>
  <c r="D26" i="24"/>
  <c r="E26" i="24"/>
  <c r="B27" i="24"/>
  <c r="C27" i="24"/>
  <c r="D27" i="24"/>
  <c r="E27" i="24"/>
  <c r="B28" i="24"/>
  <c r="C28" i="24"/>
  <c r="D28" i="24"/>
  <c r="E28" i="24"/>
  <c r="B29" i="24"/>
  <c r="C29" i="24"/>
  <c r="D29" i="24"/>
  <c r="E29" i="24"/>
  <c r="B30" i="24"/>
  <c r="C30" i="24"/>
  <c r="D30" i="24"/>
  <c r="E30" i="24"/>
  <c r="C31" i="24"/>
  <c r="D31" i="24"/>
  <c r="E31" i="24"/>
  <c r="H2" i="30"/>
  <c r="J5" i="25" l="1"/>
  <c r="J8" i="25"/>
  <c r="H8" i="25" s="1"/>
  <c r="C5" i="25"/>
  <c r="C6" i="25"/>
  <c r="C7" i="25"/>
  <c r="C8" i="25"/>
  <c r="C9" i="25"/>
  <c r="C10" i="25"/>
  <c r="C11" i="25"/>
  <c r="C12" i="25"/>
  <c r="C13" i="25"/>
  <c r="C14" i="25"/>
  <c r="R22" i="24"/>
  <c r="Q22" i="24"/>
  <c r="P22" i="24"/>
  <c r="O22" i="24"/>
  <c r="N22" i="24"/>
  <c r="M22" i="24"/>
  <c r="L22" i="24"/>
  <c r="K22" i="24"/>
  <c r="R21" i="24"/>
  <c r="Q21" i="24"/>
  <c r="P21" i="24"/>
  <c r="O21" i="24"/>
  <c r="N21" i="24"/>
  <c r="M21" i="24"/>
  <c r="L21" i="24"/>
  <c r="K21" i="24"/>
  <c r="R20" i="24"/>
  <c r="Q20" i="24"/>
  <c r="P20" i="24"/>
  <c r="O20" i="24"/>
  <c r="N20" i="24"/>
  <c r="M20" i="24"/>
  <c r="L20" i="24"/>
  <c r="K20" i="24"/>
  <c r="F24" i="24" l="1"/>
  <c r="G24" i="24" s="1"/>
  <c r="F26" i="24"/>
  <c r="G26" i="24" s="1"/>
  <c r="H26" i="24" s="1"/>
  <c r="F27" i="24"/>
  <c r="G27" i="24" s="1"/>
  <c r="H27" i="24" s="1"/>
  <c r="F25" i="24"/>
  <c r="G25" i="24" s="1"/>
  <c r="H25" i="24" s="1"/>
  <c r="F28" i="24"/>
  <c r="G28" i="24" s="1"/>
  <c r="F31" i="24"/>
  <c r="G31" i="24" s="1"/>
  <c r="F29" i="24"/>
  <c r="G29" i="24" s="1"/>
  <c r="F30" i="24"/>
  <c r="G30" i="24" s="1"/>
  <c r="C39" i="25"/>
  <c r="C26" i="25" s="1"/>
  <c r="H32" i="25"/>
  <c r="H19" i="25" s="1"/>
  <c r="F33" i="25"/>
  <c r="F20" i="25" s="1"/>
  <c r="E38" i="25"/>
  <c r="E25" i="25" s="1"/>
  <c r="I36" i="25"/>
  <c r="I23" i="25" s="1"/>
  <c r="F37" i="25"/>
  <c r="F24" i="25" s="1"/>
  <c r="G33" i="25"/>
  <c r="G20" i="25" s="1"/>
  <c r="D38" i="25"/>
  <c r="D25" i="25" s="1"/>
  <c r="D34" i="25"/>
  <c r="D21" i="25" s="1"/>
  <c r="L34" i="25"/>
  <c r="L21" i="25" s="1"/>
  <c r="K39" i="25"/>
  <c r="K26" i="25" s="1"/>
  <c r="C35" i="25"/>
  <c r="C22" i="25" s="1"/>
  <c r="J31" i="25"/>
  <c r="J18" i="25" s="1"/>
  <c r="J35" i="25"/>
  <c r="J22" i="25" s="1"/>
  <c r="H40" i="25"/>
  <c r="H27" i="25" s="1"/>
  <c r="D40" i="25"/>
  <c r="D27" i="25" s="1"/>
  <c r="K31" i="25"/>
  <c r="K18" i="25" s="1"/>
  <c r="H36" i="25"/>
  <c r="H23" i="25" s="1"/>
  <c r="L31" i="25"/>
  <c r="L18" i="25" s="1"/>
  <c r="H33" i="25"/>
  <c r="H20" i="25" s="1"/>
  <c r="D35" i="25"/>
  <c r="D22" i="25" s="1"/>
  <c r="J36" i="25"/>
  <c r="J23" i="25" s="1"/>
  <c r="H38" i="25"/>
  <c r="H25" i="25" s="1"/>
  <c r="I40" i="25"/>
  <c r="I27" i="25" s="1"/>
  <c r="D32" i="25"/>
  <c r="D19" i="25" s="1"/>
  <c r="J33" i="25"/>
  <c r="J20" i="25" s="1"/>
  <c r="F35" i="25"/>
  <c r="F22" i="25" s="1"/>
  <c r="L36" i="25"/>
  <c r="L23" i="25" s="1"/>
  <c r="L38" i="25"/>
  <c r="L25" i="25" s="1"/>
  <c r="L40" i="25"/>
  <c r="L27" i="25" s="1"/>
  <c r="C31" i="25"/>
  <c r="C18" i="25" s="1"/>
  <c r="I32" i="25"/>
  <c r="I19" i="25" s="1"/>
  <c r="E34" i="25"/>
  <c r="E21" i="25" s="1"/>
  <c r="K35" i="25"/>
  <c r="K22" i="25" s="1"/>
  <c r="G37" i="25"/>
  <c r="G24" i="25" s="1"/>
  <c r="F39" i="25"/>
  <c r="F26" i="25" s="1"/>
  <c r="G40" i="25"/>
  <c r="G27" i="25" s="1"/>
  <c r="D31" i="25"/>
  <c r="D18" i="25" s="1"/>
  <c r="J32" i="25"/>
  <c r="J19" i="25" s="1"/>
  <c r="F34" i="25"/>
  <c r="F21" i="25" s="1"/>
  <c r="L35" i="25"/>
  <c r="L22" i="25" s="1"/>
  <c r="H37" i="25"/>
  <c r="H24" i="25" s="1"/>
  <c r="J39" i="25"/>
  <c r="J26" i="25" s="1"/>
  <c r="F31" i="25"/>
  <c r="F18" i="25" s="1"/>
  <c r="L32" i="25"/>
  <c r="L19" i="25" s="1"/>
  <c r="H34" i="25"/>
  <c r="H21" i="25" s="1"/>
  <c r="D36" i="25"/>
  <c r="D23" i="25" s="1"/>
  <c r="J37" i="25"/>
  <c r="J24" i="25" s="1"/>
  <c r="F38" i="25"/>
  <c r="F25" i="25" s="1"/>
  <c r="D39" i="25"/>
  <c r="D26" i="25" s="1"/>
  <c r="L39" i="25"/>
  <c r="L26" i="25" s="1"/>
  <c r="J40" i="25"/>
  <c r="J27" i="25" s="1"/>
  <c r="E31" i="25"/>
  <c r="E18" i="25" s="1"/>
  <c r="C32" i="25"/>
  <c r="C19" i="25" s="1"/>
  <c r="K32" i="25"/>
  <c r="K19" i="25" s="1"/>
  <c r="I33" i="25"/>
  <c r="I20" i="25" s="1"/>
  <c r="G34" i="25"/>
  <c r="G21" i="25" s="1"/>
  <c r="E35" i="25"/>
  <c r="E22" i="25" s="1"/>
  <c r="C36" i="25"/>
  <c r="C23" i="25" s="1"/>
  <c r="K36" i="25"/>
  <c r="K23" i="25" s="1"/>
  <c r="I37" i="25"/>
  <c r="I24" i="25" s="1"/>
  <c r="G38" i="25"/>
  <c r="G25" i="25" s="1"/>
  <c r="E39" i="25"/>
  <c r="E26" i="25" s="1"/>
  <c r="C40" i="25"/>
  <c r="C27" i="25" s="1"/>
  <c r="K40" i="25"/>
  <c r="K27" i="25" s="1"/>
  <c r="G31" i="25"/>
  <c r="G18" i="25" s="1"/>
  <c r="E32" i="25"/>
  <c r="E19" i="25" s="1"/>
  <c r="C33" i="25"/>
  <c r="C20" i="25" s="1"/>
  <c r="K33" i="25"/>
  <c r="K20" i="25" s="1"/>
  <c r="I34" i="25"/>
  <c r="I21" i="25" s="1"/>
  <c r="G35" i="25"/>
  <c r="G22" i="25" s="1"/>
  <c r="E36" i="25"/>
  <c r="E23" i="25" s="1"/>
  <c r="C37" i="25"/>
  <c r="C24" i="25" s="1"/>
  <c r="K37" i="25"/>
  <c r="K24" i="25" s="1"/>
  <c r="I38" i="25"/>
  <c r="I25" i="25" s="1"/>
  <c r="G39" i="25"/>
  <c r="G26" i="25" s="1"/>
  <c r="E40" i="25"/>
  <c r="E27" i="25" s="1"/>
  <c r="H31" i="25"/>
  <c r="H18" i="25" s="1"/>
  <c r="F32" i="25"/>
  <c r="F19" i="25" s="1"/>
  <c r="D33" i="25"/>
  <c r="D20" i="25" s="1"/>
  <c r="L33" i="25"/>
  <c r="L20" i="25" s="1"/>
  <c r="J34" i="25"/>
  <c r="J21" i="25" s="1"/>
  <c r="H35" i="25"/>
  <c r="H22" i="25" s="1"/>
  <c r="F36" i="25"/>
  <c r="F23" i="25" s="1"/>
  <c r="D37" i="25"/>
  <c r="D24" i="25" s="1"/>
  <c r="L37" i="25"/>
  <c r="L24" i="25" s="1"/>
  <c r="J38" i="25"/>
  <c r="J25" i="25" s="1"/>
  <c r="H39" i="25"/>
  <c r="H26" i="25" s="1"/>
  <c r="F40" i="25"/>
  <c r="F27" i="25" s="1"/>
  <c r="I31" i="25"/>
  <c r="I18" i="25" s="1"/>
  <c r="G32" i="25"/>
  <c r="G19" i="25" s="1"/>
  <c r="E33" i="25"/>
  <c r="E20" i="25" s="1"/>
  <c r="C34" i="25"/>
  <c r="C21" i="25" s="1"/>
  <c r="K34" i="25"/>
  <c r="K21" i="25" s="1"/>
  <c r="I35" i="25"/>
  <c r="I22" i="25" s="1"/>
  <c r="G36" i="25"/>
  <c r="G23" i="25" s="1"/>
  <c r="E37" i="25"/>
  <c r="E24" i="25" s="1"/>
  <c r="C38" i="25"/>
  <c r="C25" i="25" s="1"/>
  <c r="K38" i="25"/>
  <c r="K25" i="25" s="1"/>
  <c r="I39" i="25"/>
  <c r="I26" i="25" s="1"/>
  <c r="H24" i="24" l="1"/>
  <c r="H30" i="24"/>
  <c r="H31" i="24"/>
  <c r="H28" i="24"/>
  <c r="H29" i="24"/>
  <c r="L23" i="24"/>
  <c r="I5" i="25"/>
  <c r="P23" i="24"/>
  <c r="N23" i="24"/>
  <c r="K23" i="24"/>
  <c r="M23" i="24"/>
  <c r="C21" i="24"/>
  <c r="R23" i="24"/>
  <c r="Q23" i="24"/>
  <c r="O23" i="24"/>
  <c r="H5" i="25" l="1"/>
  <c r="M30" i="24" s="1"/>
  <c r="F21" i="24"/>
  <c r="Q24" i="24" l="1"/>
  <c r="N25" i="24"/>
  <c r="O28" i="24"/>
  <c r="N26" i="24"/>
  <c r="Q28" i="24"/>
  <c r="N30" i="24"/>
  <c r="L30" i="24"/>
  <c r="R29" i="24"/>
  <c r="L27" i="24"/>
  <c r="P27" i="24"/>
  <c r="K29" i="24"/>
  <c r="O24" i="24"/>
  <c r="R25" i="24"/>
  <c r="P30" i="24"/>
  <c r="K25" i="24"/>
  <c r="M24" i="24"/>
  <c r="N29" i="24"/>
  <c r="R24" i="24"/>
  <c r="R28" i="24"/>
  <c r="Q31" i="24"/>
  <c r="Q27" i="24"/>
  <c r="P31" i="24"/>
  <c r="P26" i="24"/>
  <c r="L31" i="24"/>
  <c r="L26" i="24"/>
  <c r="K24" i="24"/>
  <c r="K28" i="24"/>
  <c r="O31" i="24"/>
  <c r="O27" i="24"/>
  <c r="M31" i="24"/>
  <c r="M27" i="24"/>
  <c r="M28" i="24"/>
  <c r="N27" i="24"/>
  <c r="N24" i="24"/>
  <c r="R26" i="24"/>
  <c r="R30" i="24"/>
  <c r="Q25" i="24"/>
  <c r="Q29" i="24"/>
  <c r="P24" i="24"/>
  <c r="P28" i="24"/>
  <c r="L24" i="24"/>
  <c r="L28" i="24"/>
  <c r="K26" i="24"/>
  <c r="K30" i="24"/>
  <c r="O25" i="24"/>
  <c r="O29" i="24"/>
  <c r="M25" i="24"/>
  <c r="M29" i="24"/>
  <c r="N28" i="24"/>
  <c r="N31" i="24"/>
  <c r="R27" i="24"/>
  <c r="R31" i="24"/>
  <c r="Q26" i="24"/>
  <c r="Q30" i="24"/>
  <c r="P25" i="24"/>
  <c r="P29" i="24"/>
  <c r="L25" i="24"/>
  <c r="L29" i="24"/>
  <c r="K27" i="24"/>
  <c r="K31" i="24"/>
  <c r="O26" i="24"/>
  <c r="O30" i="24"/>
  <c r="M26" i="24"/>
  <c r="I27" i="24" l="1"/>
  <c r="I25" i="24"/>
  <c r="I31" i="24"/>
  <c r="I24" i="24"/>
  <c r="I29" i="24"/>
  <c r="I30" i="24"/>
  <c r="I28" i="24"/>
  <c r="I26" i="24"/>
  <c r="E21" i="24" l="1"/>
  <c r="C17" i="24" s="1"/>
  <c r="G21" i="24"/>
  <c r="D21" i="24" l="1"/>
  <c r="C18" i="24"/>
  <c r="C16" i="24"/>
  <c r="C3" i="17" s="1"/>
  <c r="C4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tc={1437483A-F144-4D10-AE3D-246519BD5E60}</author>
  </authors>
  <commentList>
    <comment ref="C2" authorId="0" shapeId="0" xr:uid="{1437483A-F144-4D10-AE3D-246519BD5E6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modified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<sst xmlns="http://schemas.openxmlformats.org/spreadsheetml/2006/main" count="209" uniqueCount="116">
  <si>
    <t>USD</t>
  </si>
  <si>
    <t>Correlation scenario</t>
  </si>
  <si>
    <t>High</t>
  </si>
  <si>
    <r>
      <t xml:space="preserve">Calculations are done as of </t>
    </r>
    <r>
      <rPr>
        <b/>
        <sz val="11"/>
        <color theme="1"/>
        <rFont val="Calibri"/>
        <family val="2"/>
        <scheme val="minor"/>
      </rPr>
      <t>March 21st, 2024</t>
    </r>
  </si>
  <si>
    <t>SOFR Curve</t>
  </si>
  <si>
    <t>Generates Zero Curve (calculated outside of Excel)</t>
  </si>
  <si>
    <t>Start Date</t>
  </si>
  <si>
    <t>Overnight</t>
  </si>
  <si>
    <t>Curve Point</t>
  </si>
  <si>
    <t>Zero Rate</t>
  </si>
  <si>
    <t>Discount Factor</t>
  </si>
  <si>
    <t>End Date</t>
  </si>
  <si>
    <t>SOFR Swap</t>
  </si>
  <si>
    <t>3 Month</t>
  </si>
  <si>
    <t>6 Month</t>
  </si>
  <si>
    <t>Pay Side</t>
  </si>
  <si>
    <t>Receive Side</t>
  </si>
  <si>
    <t>9 Month</t>
  </si>
  <si>
    <t>Ccy</t>
  </si>
  <si>
    <t>1 Year</t>
  </si>
  <si>
    <t>Index</t>
  </si>
  <si>
    <t>FIXED</t>
  </si>
  <si>
    <t>SOFR</t>
  </si>
  <si>
    <t>18 Month</t>
  </si>
  <si>
    <t>Rate</t>
  </si>
  <si>
    <t>NA</t>
  </si>
  <si>
    <t>2 Year</t>
  </si>
  <si>
    <t>Spread</t>
  </si>
  <si>
    <t>3 Year</t>
  </si>
  <si>
    <t>Pay Freq</t>
  </si>
  <si>
    <t>Annual</t>
  </si>
  <si>
    <t>4 Year</t>
  </si>
  <si>
    <t>Reset Freq</t>
  </si>
  <si>
    <t>5 Year</t>
  </si>
  <si>
    <t>6 Year</t>
  </si>
  <si>
    <t>Value</t>
  </si>
  <si>
    <t>7 Year</t>
  </si>
  <si>
    <t>8 Year</t>
  </si>
  <si>
    <t>Trade Value:</t>
  </si>
  <si>
    <t>9 Year</t>
  </si>
  <si>
    <t>10 Year</t>
  </si>
  <si>
    <t>12 Year</t>
  </si>
  <si>
    <t>15 Year</t>
  </si>
  <si>
    <t>20 Year</t>
  </si>
  <si>
    <t>25 Year</t>
  </si>
  <si>
    <t>30 Year</t>
  </si>
  <si>
    <t>Sensitivities</t>
  </si>
  <si>
    <t>FRTB Tenors</t>
  </si>
  <si>
    <t>3M</t>
  </si>
  <si>
    <t>6M</t>
  </si>
  <si>
    <t>1Y</t>
  </si>
  <si>
    <t>2Y</t>
  </si>
  <si>
    <t>3Y</t>
  </si>
  <si>
    <t>5Y</t>
  </si>
  <si>
    <t>10Y</t>
  </si>
  <si>
    <t>15Y</t>
  </si>
  <si>
    <t>20Y</t>
  </si>
  <si>
    <t>30Y</t>
  </si>
  <si>
    <t>Total</t>
  </si>
  <si>
    <t>Reg^2</t>
  </si>
  <si>
    <t>Alt^2</t>
  </si>
  <si>
    <t>Temp Reg</t>
  </si>
  <si>
    <t>Temp Alt</t>
  </si>
  <si>
    <t>Correlations</t>
  </si>
  <si>
    <t>Tenor</t>
  </si>
  <si>
    <t>Scaled Sens</t>
  </si>
  <si>
    <t>GIRR</t>
  </si>
  <si>
    <t>RiskWeight</t>
  </si>
  <si>
    <t>RW Lite</t>
  </si>
  <si>
    <t>RW regular</t>
  </si>
  <si>
    <t>Parameter</t>
  </si>
  <si>
    <t>CSM</t>
  </si>
  <si>
    <t>Min corr.</t>
  </si>
  <si>
    <t>Reduced Ccy</t>
  </si>
  <si>
    <t>EUR</t>
  </si>
  <si>
    <t>GBP</t>
  </si>
  <si>
    <t>AUD</t>
  </si>
  <si>
    <t>JPY</t>
  </si>
  <si>
    <t>SEK</t>
  </si>
  <si>
    <t>CAD</t>
  </si>
  <si>
    <t>Interest Rate</t>
  </si>
  <si>
    <t>Low</t>
  </si>
  <si>
    <t>Medium</t>
  </si>
  <si>
    <t>Lite</t>
  </si>
  <si>
    <t>Sum Corr Values</t>
  </si>
  <si>
    <t>Light Correlations</t>
  </si>
  <si>
    <t>5Y SOFR swap collateralized in USD as of March 21, 2024</t>
  </si>
  <si>
    <t>Correlation Scenarios</t>
  </si>
  <si>
    <t>Basis</t>
  </si>
  <si>
    <t>A/360</t>
  </si>
  <si>
    <t>30/360</t>
  </si>
  <si>
    <t>Type</t>
  </si>
  <si>
    <t>Amount</t>
  </si>
  <si>
    <t>Scaled Amount</t>
  </si>
  <si>
    <t>Sum of Scaled Amount</t>
  </si>
  <si>
    <t>Shift (bp)</t>
  </si>
  <si>
    <t>Charge for Interest Rate Delta</t>
  </si>
  <si>
    <t>Total FRTB Charge</t>
  </si>
  <si>
    <t>#Days</t>
  </si>
  <si>
    <t>Example use case is an at-the-money SOFR interest rate swap.</t>
  </si>
  <si>
    <t>Notional</t>
  </si>
  <si>
    <t>Cross Tenor Correlations Curves Used</t>
  </si>
  <si>
    <t>Theta</t>
  </si>
  <si>
    <t>Gamma</t>
  </si>
  <si>
    <t>Amount and Scaled Amount can be modified</t>
  </si>
  <si>
    <t>Swap1</t>
  </si>
  <si>
    <t>Position Id</t>
  </si>
  <si>
    <t>Portfolio of trades is stored here and then</t>
  </si>
  <si>
    <t>consolidated in pivot tables in next tab</t>
  </si>
  <si>
    <t>RW_k</t>
  </si>
  <si>
    <t>WS_k</t>
  </si>
  <si>
    <t>WS_k^2</t>
  </si>
  <si>
    <t>S_b Reg</t>
  </si>
  <si>
    <t>S_b Alt</t>
  </si>
  <si>
    <t>K_b</t>
  </si>
  <si>
    <t>Regular Correlations - Functional Form Exponentially Decaying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</si>
</sst>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000000000000"/>
    <numFmt numFmtId="167" formatCode="0.000%"/>
    <numFmt numFmtId="168" formatCode="_-* #,##0.00000_-;\-* #,##0.00000_-;_-* &quot;-&quot;??_-;_-@_-"/>
    <numFmt numFmtId="169" formatCode="_-* #,##0.0000000000_-;\-* #,##0.0000000000_-;_-* &quot;-&quot;??_-;_-@_-"/>
    <numFmt numFmtId="170" formatCode="0.0000000000000000%"/>
    <numFmt numFmtId="171" formatCode="_(&quot;$&quot;* #,##0_);_(&quot;$&quot;* \(#,##0\);_(&quot;$&quot;* &quot;-&quot;??_);_(@_)"/>
    <numFmt numFmtId="172" formatCode="0.00000E+00"/>
    <numFmt numFmtId="173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color rgb="FF006100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4" borderId="0" applyNumberFormat="0" applyBorder="0" applyAlignment="0" applyProtection="0"/>
  </cellStyleXfs>
  <cellXfs count="162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9" fontId="0" fillId="0" borderId="0" xfId="0" applyNumberFormat="1"/>
    <xf numFmtId="164" fontId="0" fillId="0" borderId="0" xfId="1" applyFont="1"/>
    <xf numFmtId="165" fontId="0" fillId="0" borderId="0" xfId="0" applyNumberFormat="1" applyAlignment="1">
      <alignment horizontal="center"/>
    </xf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0" fontId="0" fillId="0" borderId="0" xfId="0" applyNumberFormat="1" applyBorder="1" applyAlignment="1">
      <alignment horizontal="center"/>
    </xf>
    <xf numFmtId="10" fontId="0" fillId="0" borderId="0" xfId="0" applyNumberFormat="1" applyBorder="1"/>
    <xf numFmtId="0" fontId="0" fillId="0" borderId="0" xfId="0" applyBorder="1" applyAlignment="1">
      <alignment horizontal="center"/>
    </xf>
    <xf numFmtId="164" fontId="0" fillId="0" borderId="0" xfId="1" applyFont="1" applyBorder="1"/>
    <xf numFmtId="166" fontId="0" fillId="0" borderId="0" xfId="0" applyNumberFormat="1" applyBorder="1"/>
    <xf numFmtId="165" fontId="0" fillId="0" borderId="0" xfId="0" applyNumberFormat="1" applyBorder="1"/>
    <xf numFmtId="165" fontId="0" fillId="0" borderId="6" xfId="0" applyNumberFormat="1" applyBorder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0" fontId="0" fillId="0" borderId="0" xfId="2" applyNumberFormat="1" applyFont="1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6" xfId="0" applyBorder="1"/>
    <xf numFmtId="0" fontId="0" fillId="0" borderId="7" xfId="0" applyBorder="1"/>
    <xf numFmtId="43" fontId="0" fillId="0" borderId="0" xfId="0" applyNumberFormat="1"/>
    <xf numFmtId="2" fontId="0" fillId="0" borderId="0" xfId="0" applyNumberFormat="1"/>
    <xf numFmtId="39" fontId="0" fillId="0" borderId="0" xfId="1" applyNumberFormat="1" applyFont="1"/>
    <xf numFmtId="165" fontId="0" fillId="0" borderId="5" xfId="1" applyNumberFormat="1" applyFont="1" applyBorder="1"/>
    <xf numFmtId="165" fontId="0" fillId="0" borderId="5" xfId="0" applyNumberFormat="1" applyBorder="1"/>
    <xf numFmtId="44" fontId="0" fillId="0" borderId="5" xfId="3" applyFont="1" applyBorder="1"/>
    <xf numFmtId="44" fontId="0" fillId="0" borderId="5" xfId="3" quotePrefix="1" applyFont="1" applyBorder="1"/>
    <xf numFmtId="165" fontId="0" fillId="0" borderId="3" xfId="1" applyNumberFormat="1" applyFont="1" applyBorder="1"/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165" fontId="0" fillId="0" borderId="7" xfId="1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8" fontId="0" fillId="0" borderId="10" xfId="0" applyNumberFormat="1" applyBorder="1"/>
    <xf numFmtId="44" fontId="0" fillId="0" borderId="10" xfId="3" applyFont="1" applyBorder="1" applyAlignment="1">
      <alignment horizontal="right"/>
    </xf>
    <xf numFmtId="14" fontId="0" fillId="0" borderId="2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right"/>
    </xf>
    <xf numFmtId="14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8" xfId="0" applyFont="1" applyBorder="1"/>
    <xf numFmtId="0" fontId="0" fillId="0" borderId="7" xfId="0" applyFont="1" applyBorder="1"/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44" fontId="0" fillId="0" borderId="0" xfId="0" applyNumberFormat="1"/>
    <xf numFmtId="165" fontId="0" fillId="0" borderId="6" xfId="1" applyNumberFormat="1" applyFont="1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10" fontId="0" fillId="0" borderId="6" xfId="2" applyNumberFormat="1" applyFont="1" applyBorder="1"/>
    <xf numFmtId="0" fontId="2" fillId="0" borderId="0" xfId="0" applyFont="1"/>
    <xf numFmtId="2" fontId="2" fillId="0" borderId="0" xfId="0" applyNumberFormat="1" applyFont="1"/>
    <xf numFmtId="39" fontId="2" fillId="0" borderId="0" xfId="1" applyNumberFormat="1" applyFont="1"/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0" borderId="13" xfId="0" applyBorder="1"/>
    <xf numFmtId="0" fontId="0" fillId="0" borderId="14" xfId="0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7" xfId="2" applyNumberFormat="1" applyFont="1" applyBorder="1"/>
    <xf numFmtId="167" fontId="0" fillId="0" borderId="5" xfId="0" applyNumberFormat="1" applyBorder="1"/>
    <xf numFmtId="0" fontId="2" fillId="0" borderId="0" xfId="0" applyFont="1" applyBorder="1" applyAlignment="1">
      <alignment horizontal="center"/>
    </xf>
    <xf numFmtId="3" fontId="0" fillId="0" borderId="0" xfId="1" applyNumberFormat="1" applyFont="1" applyBorder="1"/>
    <xf numFmtId="3" fontId="0" fillId="0" borderId="6" xfId="1" applyNumberFormat="1" applyFont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0" fontId="0" fillId="0" borderId="0" xfId="0" applyNumberFormat="1" applyBorder="1"/>
    <xf numFmtId="0" fontId="0" fillId="0" borderId="2" xfId="0" applyBorder="1" applyAlignment="1">
      <alignment horizontal="right"/>
    </xf>
    <xf numFmtId="171" fontId="0" fillId="0" borderId="2" xfId="3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2" fontId="0" fillId="0" borderId="5" xfId="1" applyNumberFormat="1" applyFont="1" applyBorder="1"/>
    <xf numFmtId="172" fontId="0" fillId="0" borderId="7" xfId="1" applyNumberFormat="1" applyFont="1" applyBorder="1"/>
    <xf numFmtId="4" fontId="0" fillId="0" borderId="8" xfId="0" applyNumberFormat="1" applyBorder="1"/>
    <xf numFmtId="4" fontId="0" fillId="0" borderId="6" xfId="0" applyNumberFormat="1" applyBorder="1"/>
    <xf numFmtId="4" fontId="0" fillId="0" borderId="7" xfId="0" applyNumberFormat="1" applyBorder="1"/>
    <xf numFmtId="0" fontId="0" fillId="2" borderId="18" xfId="0" applyFill="1" applyBorder="1"/>
    <xf numFmtId="44" fontId="0" fillId="2" borderId="19" xfId="3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9" fontId="0" fillId="0" borderId="5" xfId="1" applyNumberFormat="1" applyFont="1" applyBorder="1" applyAlignment="1">
      <alignment horizontal="center"/>
    </xf>
    <xf numFmtId="9" fontId="0" fillId="0" borderId="6" xfId="1" applyNumberFormat="1" applyFont="1" applyBorder="1" applyAlignment="1">
      <alignment horizontal="center"/>
    </xf>
    <xf numFmtId="9" fontId="0" fillId="0" borderId="7" xfId="1" applyNumberFormat="1" applyFont="1" applyBorder="1" applyAlignment="1">
      <alignment horizontal="center"/>
    </xf>
    <xf numFmtId="173" fontId="0" fillId="0" borderId="0" xfId="1" applyNumberFormat="1" applyFont="1" applyBorder="1" applyAlignment="1">
      <alignment horizontal="center"/>
    </xf>
    <xf numFmtId="173" fontId="0" fillId="0" borderId="5" xfId="1" applyNumberFormat="1" applyFont="1" applyBorder="1" applyAlignment="1">
      <alignment horizontal="center"/>
    </xf>
    <xf numFmtId="173" fontId="0" fillId="0" borderId="6" xfId="1" applyNumberFormat="1" applyFont="1" applyBorder="1" applyAlignment="1">
      <alignment horizontal="center"/>
    </xf>
    <xf numFmtId="173" fontId="0" fillId="0" borderId="7" xfId="1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2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0" fillId="0" borderId="4" xfId="1" applyNumberFormat="1" applyFont="1" applyFill="1" applyBorder="1"/>
    <xf numFmtId="3" fontId="0" fillId="0" borderId="0" xfId="1" applyNumberFormat="1" applyFont="1" applyFill="1" applyBorder="1"/>
    <xf numFmtId="3" fontId="0" fillId="0" borderId="5" xfId="1" applyNumberFormat="1" applyFont="1" applyFill="1" applyBorder="1"/>
    <xf numFmtId="3" fontId="0" fillId="0" borderId="8" xfId="1" applyNumberFormat="1" applyFont="1" applyFill="1" applyBorder="1"/>
    <xf numFmtId="3" fontId="0" fillId="0" borderId="6" xfId="1" applyNumberFormat="1" applyFont="1" applyFill="1" applyBorder="1"/>
    <xf numFmtId="3" fontId="0" fillId="0" borderId="7" xfId="1" applyNumberFormat="1" applyFont="1" applyFill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3" fontId="0" fillId="0" borderId="5" xfId="0" applyNumberFormat="1" applyBorder="1"/>
    <xf numFmtId="3" fontId="0" fillId="0" borderId="7" xfId="0" applyNumberFormat="1" applyBorder="1"/>
    <xf numFmtId="4" fontId="0" fillId="0" borderId="5" xfId="3" applyNumberFormat="1" applyFont="1" applyBorder="1"/>
    <xf numFmtId="4" fontId="0" fillId="0" borderId="5" xfId="0" applyNumberFormat="1" applyFont="1" applyBorder="1"/>
    <xf numFmtId="4" fontId="0" fillId="0" borderId="7" xfId="0" applyNumberFormat="1" applyFont="1" applyBorder="1"/>
    <xf numFmtId="9" fontId="5" fillId="0" borderId="3" xfId="0" applyNumberFormat="1" applyFont="1" applyBorder="1" applyAlignment="1" applyProtection="1">
      <alignment horizontal="center"/>
      <protection locked="0"/>
    </xf>
    <xf numFmtId="2" fontId="0" fillId="0" borderId="0" xfId="1" applyNumberFormat="1" applyFont="1" applyProtection="1">
      <protection locked="0"/>
    </xf>
    <xf numFmtId="39" fontId="0" fillId="0" borderId="0" xfId="1" applyNumberFormat="1" applyFont="1" applyProtection="1">
      <protection locked="0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4" borderId="9" xfId="4" applyBorder="1" applyAlignment="1">
      <alignment horizontal="center"/>
    </xf>
    <xf numFmtId="0" fontId="6" fillId="4" borderId="10" xfId="4" applyBorder="1" applyAlignment="1">
      <alignment horizontal="center"/>
    </xf>
    <xf numFmtId="0" fontId="6" fillId="4" borderId="11" xfId="4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65" fontId="2" fillId="0" borderId="9" xfId="1" applyNumberFormat="1" applyFont="1" applyBorder="1" applyAlignment="1">
      <alignment horizontal="center"/>
    </xf>
    <xf numFmtId="165" fontId="2" fillId="0" borderId="10" xfId="1" applyNumberFormat="1" applyFont="1" applyBorder="1" applyAlignment="1">
      <alignment horizontal="center"/>
    </xf>
    <xf numFmtId="165" fontId="2" fillId="0" borderId="11" xfId="1" applyNumberFormat="1" applyFont="1" applyBorder="1" applyAlignment="1">
      <alignment horizontal="center"/>
    </xf>
    <xf numFmtId="0" fontId="0" fillId="5" borderId="0" xfId="0" applyFill="1"/>
  </cellXfs>
  <cellStyles count="5">
    <cellStyle name="Comma" xfId="1" builtinId="3"/>
    <cellStyle name="Currency" xfId="3" builtinId="4"/>
    <cellStyle name="Good" xfId="4" builtinId="26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Rates as of March 21,</a:t>
            </a:r>
            <a:r>
              <a:rPr lang="en-US" baseline="0"/>
              <a:t>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Zero Rates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'Consolidated View'!$L$12:$L$32</c:f>
              <c:numCache>
                <c:formatCode>m/d/yyyy</c:formatCode>
                <c:ptCount val="21"/>
                <c:pt idx="0">
                  <c:v>45373</c:v>
                </c:pt>
                <c:pt idx="1">
                  <c:v>45376</c:v>
                </c:pt>
                <c:pt idx="2">
                  <c:v>45470</c:v>
                </c:pt>
                <c:pt idx="3">
                  <c:v>45562</c:v>
                </c:pt>
                <c:pt idx="4">
                  <c:v>45656</c:v>
                </c:pt>
                <c:pt idx="5">
                  <c:v>45743</c:v>
                </c:pt>
                <c:pt idx="6">
                  <c:v>45929</c:v>
                </c:pt>
                <c:pt idx="7">
                  <c:v>46108</c:v>
                </c:pt>
                <c:pt idx="8">
                  <c:v>46475</c:v>
                </c:pt>
                <c:pt idx="9">
                  <c:v>46841</c:v>
                </c:pt>
                <c:pt idx="10">
                  <c:v>47205</c:v>
                </c:pt>
                <c:pt idx="11">
                  <c:v>47569</c:v>
                </c:pt>
                <c:pt idx="12">
                  <c:v>47934</c:v>
                </c:pt>
                <c:pt idx="13">
                  <c:v>48302</c:v>
                </c:pt>
                <c:pt idx="14">
                  <c:v>48667</c:v>
                </c:pt>
                <c:pt idx="15">
                  <c:v>49032</c:v>
                </c:pt>
                <c:pt idx="16">
                  <c:v>49761</c:v>
                </c:pt>
                <c:pt idx="17">
                  <c:v>50858</c:v>
                </c:pt>
                <c:pt idx="18">
                  <c:v>52685</c:v>
                </c:pt>
                <c:pt idx="19">
                  <c:v>54511</c:v>
                </c:pt>
                <c:pt idx="20">
                  <c:v>56335</c:v>
                </c:pt>
              </c:numCache>
            </c:numRef>
          </c:cat>
          <c:val>
            <c:numRef>
              <c:f>'Consolidated View'!$N$12:$N$32</c:f>
              <c:numCache>
                <c:formatCode>General</c:formatCode>
                <c:ptCount val="21"/>
                <c:pt idx="0">
                  <c:v>5.5556882722346996</c:v>
                </c:pt>
                <c:pt idx="1">
                  <c:v>5.5556882722346996</c:v>
                </c:pt>
                <c:pt idx="2">
                  <c:v>5.2699690092746003</c:v>
                </c:pt>
                <c:pt idx="3">
                  <c:v>5.1557409615432999</c:v>
                </c:pt>
                <c:pt idx="4">
                  <c:v>5.0618610289030999</c:v>
                </c:pt>
                <c:pt idx="5">
                  <c:v>4.9486808398504998</c:v>
                </c:pt>
                <c:pt idx="6">
                  <c:v>4.6794340820181004</c:v>
                </c:pt>
                <c:pt idx="7">
                  <c:v>4.4757480227583004</c:v>
                </c:pt>
                <c:pt idx="8">
                  <c:v>4.1893784967557002</c:v>
                </c:pt>
                <c:pt idx="9">
                  <c:v>4.0565904797185999</c:v>
                </c:pt>
                <c:pt idx="10">
                  <c:v>3.9668193254649</c:v>
                </c:pt>
                <c:pt idx="11">
                  <c:v>3.9176375148156999</c:v>
                </c:pt>
                <c:pt idx="12">
                  <c:v>3.8868557321913002</c:v>
                </c:pt>
                <c:pt idx="13">
                  <c:v>3.8730307021403001</c:v>
                </c:pt>
                <c:pt idx="14">
                  <c:v>3.8580199032429001</c:v>
                </c:pt>
                <c:pt idx="15">
                  <c:v>3.8541339507807999</c:v>
                </c:pt>
                <c:pt idx="16">
                  <c:v>3.8618232241096</c:v>
                </c:pt>
                <c:pt idx="17">
                  <c:v>3.8762293041882998</c:v>
                </c:pt>
                <c:pt idx="18">
                  <c:v>3.8389017598908</c:v>
                </c:pt>
                <c:pt idx="19">
                  <c:v>3.7229459038605999</c:v>
                </c:pt>
                <c:pt idx="20">
                  <c:v>3.5759800825299002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0-4745-8211-2D691969E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625024"/>
        <c:axId val="2038809008"/>
      </c:lineChart>
      <c:dateAx>
        <c:axId val="2079625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809008"/>
        <c:crosses val="autoZero"/>
        <c:auto val="1"/>
        <c:lblOffset val="100"/>
        <c:baseTimeUnit val="days"/>
      </c:dateAx>
      <c:valAx>
        <c:axId val="2038809008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62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'GIRR Delta Aggregations'!$B$5:$B$12</c:f>
              <c:strCache>
                <c:ptCount val="8"/>
                <c:pt idx="0">
                  <c:v>3M</c:v>
                </c:pt>
                <c:pt idx="1">
                  <c:v>6M</c:v>
                </c:pt>
                <c:pt idx="2">
                  <c:v>1Y</c:v>
                </c:pt>
                <c:pt idx="3">
                  <c:v>2Y</c:v>
                </c:pt>
                <c:pt idx="4">
                  <c:v>3Y</c:v>
                </c:pt>
                <c:pt idx="5">
                  <c:v>5Y</c:v>
                </c:pt>
                <c:pt idx="6">
                  <c:v>10Y</c:v>
                </c:pt>
                <c:pt idx="7">
                  <c:v>15Y</c:v>
                </c:pt>
              </c:strCache>
            </c:strRef>
          </c:cat>
          <c:val>
            <c:numRef>
              <c:f>'GIRR Delta Aggregations'!$C$5:$C$12</c:f>
              <c:numCache>
                <c:formatCode>#,##0.00</c:formatCode>
                <c:ptCount val="8"/>
                <c:pt idx="0">
                  <c:v>-109.5</c:v>
                </c:pt>
                <c:pt idx="1">
                  <c:v>-1.81</c:v>
                </c:pt>
                <c:pt idx="2">
                  <c:v>387.24</c:v>
                </c:pt>
                <c:pt idx="3">
                  <c:v>652.5</c:v>
                </c:pt>
                <c:pt idx="4">
                  <c:v>1648.89</c:v>
                </c:pt>
                <c:pt idx="5">
                  <c:v>43664.52</c:v>
                </c:pt>
                <c:pt idx="6">
                  <c:v>24.75</c:v>
                </c:pt>
                <c:pt idx="7">
                  <c:v>-0.45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C-AB43-9255-D53AE35FD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8960928"/>
        <c:axId val="2100041104"/>
      </c:barChart>
      <c:catAx>
        <c:axId val="20389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41104"/>
        <c:crosses val="autoZero"/>
        <c:auto val="1"/>
        <c:lblAlgn val="ctr"/>
        <c:lblOffset val="100"/>
        <c:noMultiLvlLbl val="0"/>
      </c:catAx>
      <c:valAx>
        <c:axId val="210004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6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26</xdr:row>
      <xdr:rowOff>12700</xdr:rowOff>
    </xdr:from>
    <xdr:to>
      <xdr:col>6</xdr:col>
      <xdr:colOff>381000</xdr:colOff>
      <xdr:row>50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E3221-311D-A34B-98ED-4B8AE445A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203201</xdr:colOff>
      <xdr:row>0</xdr:row>
      <xdr:rowOff>184150</xdr:rowOff>
    </xdr:from>
    <xdr:to>
      <xdr:col>8</xdr:col>
      <xdr:colOff>1308101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86CA5-3858-4446-8A1D-BC7255403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08.852951273147" createdVersion="8" refreshedVersion="6" minRefreshableVersion="3" recordCount="8" xr:uid="{A6CFA459-BA31-4D94-B111-D5E9157E4EFA}">
  <cacheSource type="worksheet">
    <worksheetSource ref="B1:H9" sheet="Trading System Data"/>
  </cacheSource>
  <cacheFields count="7">
    <cacheField name="Type" numFmtId="0">
      <sharedItems/>
    </cacheField>
    <cacheField name="Ccy" numFmtId="0">
      <sharedItems count="1">
        <s v="USD"/>
      </sharedItems>
    </cacheField>
    <cacheField name="Index" numFmtId="0">
      <sharedItems count="1">
        <s v="SOFR"/>
      </sharedItems>
    </cacheField>
    <cacheField name="Tenor" numFmtId="0">
      <sharedItems containsSemiMixedTypes="0" containsString="0" containsNumber="1" minValue="0.25" maxValue="15" count="8">
        <n v="0.25"/>
        <n v="0.5"/>
        <n v="1"/>
        <n v="2"/>
        <n v="3"/>
        <n v="5"/>
        <n v="10"/>
        <n v="15"/>
      </sharedItems>
    </cacheField>
    <cacheField name="Shift" numFmtId="0">
      <sharedItems containsSemiMixedTypes="0" containsString="0" containsNumber="1" containsInteger="1" minValue="1" maxValue="1"/>
    </cacheField>
    <cacheField name="Amount" numFmtId="2">
      <sharedItems containsSemiMixedTypes="0" containsString="0" containsNumber="1" minValue="-109.5" maxValue="43664.52"/>
    </cacheField>
    <cacheField name="Scaled Amount" numFmtId="39">
      <sharedItems containsSemiMixedTypes="0" containsString="0" containsNumber="1" minValue="-1095000" maxValue="436645199.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Interest Rate"/>
    <x v="0"/>
    <x v="0"/>
    <x v="0"/>
    <n v="1"/>
    <n v="-109.5"/>
    <n v="-1095000"/>
  </r>
  <r>
    <s v="Interest Rate"/>
    <x v="0"/>
    <x v="0"/>
    <x v="1"/>
    <n v="1"/>
    <n v="-1.81"/>
    <n v="-18100"/>
  </r>
  <r>
    <s v="Interest Rate"/>
    <x v="0"/>
    <x v="0"/>
    <x v="2"/>
    <n v="1"/>
    <n v="387.24"/>
    <n v="3872400"/>
  </r>
  <r>
    <s v="Interest Rate"/>
    <x v="0"/>
    <x v="0"/>
    <x v="3"/>
    <n v="1"/>
    <n v="652.5"/>
    <n v="6525000"/>
  </r>
  <r>
    <s v="Interest Rate"/>
    <x v="0"/>
    <x v="0"/>
    <x v="4"/>
    <n v="1"/>
    <n v="1648.89"/>
    <n v="16488900"/>
  </r>
  <r>
    <s v="Interest Rate"/>
    <x v="0"/>
    <x v="0"/>
    <x v="5"/>
    <n v="1"/>
    <n v="43664.52"/>
    <n v="436645199.99999994"/>
  </r>
  <r>
    <s v="Interest Rate"/>
    <x v="0"/>
    <x v="0"/>
    <x v="6"/>
    <n v="1"/>
    <n v="24.75"/>
    <n v="247500"/>
  </r>
  <r>
    <s v="Interest Rate"/>
    <x v="0"/>
    <x v="0"/>
    <x v="7"/>
    <n v="1"/>
    <n v="-0.45"/>
    <n v="-4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6663-1233-4166-8AD7-0D295E1F2D81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8" indent="0" compact="0" compactData="0" multipleFieldFilters="0">
  <location ref="B3:E11" firstHeaderRow="1" firstDataRow="1" firstDataCol="3"/>
  <pivotFields count="7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3"/>
  </rowFields>
  <rowItems count="8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</rowItems>
  <colItems count="1">
    <i/>
  </colItems>
  <dataFields count="1">
    <dataField name="Sum of Scaled Amoun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11-19T10:42:48.15" personId="{00000000-0000-0000-0000-000000000000}" id="{1437483A-F144-4D10-AE3D-246519BD5E60}">
    <text>Can be modified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249977111117893"/>
    <pageSetUpPr fitToPage="1"/>
  </sheetPr>
  <dimension ref="A1:AD53"/>
  <sheetViews>
    <sheetView tabSelected="1" zoomScaleNormal="100" workbookViewId="0">
      <selection activeCell="B30" sqref="B30"/>
    </sheetView>
  </sheetViews>
  <sheetFormatPr defaultColWidth="8.77734375" defaultRowHeight="14.4" x14ac:dyDescent="0.3"/>
  <cols>
    <col min="1" max="1" width="9.109375" style="9"/>
    <col min="2" max="2" width="7" style="10" customWidth="1"/>
    <col min="3" max="11" width="10.6640625" style="10" customWidth="1"/>
    <col min="12" max="12" width="11.77734375" style="10" bestFit="1" customWidth="1"/>
    <col min="13" max="13" width="20.109375" style="10" bestFit="1" customWidth="1"/>
    <col min="14" max="14" width="8.77734375" style="10"/>
    <col min="15" max="15" width="17.6640625" customWidth="1"/>
    <col min="16" max="18" width="12" bestFit="1" customWidth="1"/>
    <col min="19" max="21" width="11" bestFit="1" customWidth="1"/>
  </cols>
  <sheetData>
    <row r="1" spans="1:30" x14ac:dyDescent="0.3">
      <c r="A1" s="8"/>
      <c r="B1" s="153" t="s">
        <v>66</v>
      </c>
      <c r="C1" s="154"/>
      <c r="D1" s="154"/>
      <c r="E1" s="154"/>
      <c r="F1" s="154"/>
      <c r="G1" s="154"/>
      <c r="H1" s="154"/>
      <c r="I1" s="154"/>
      <c r="J1" s="154"/>
      <c r="K1" s="154"/>
      <c r="L1" s="155"/>
      <c r="M1"/>
    </row>
    <row r="2" spans="1:30" ht="15" thickBot="1" x14ac:dyDescent="0.35"/>
    <row r="3" spans="1:30" x14ac:dyDescent="0.3">
      <c r="B3" s="8"/>
      <c r="C3" s="100" t="s">
        <v>67</v>
      </c>
      <c r="D3" s="100" t="s">
        <v>68</v>
      </c>
      <c r="E3" s="101" t="s">
        <v>69</v>
      </c>
      <c r="G3" s="84" t="s">
        <v>70</v>
      </c>
      <c r="H3" s="85" t="s">
        <v>35</v>
      </c>
      <c r="I3" s="85" t="s">
        <v>68</v>
      </c>
      <c r="J3" s="86" t="s">
        <v>69</v>
      </c>
      <c r="L3" s="114" t="s">
        <v>73</v>
      </c>
      <c r="N3"/>
    </row>
    <row r="4" spans="1:30" x14ac:dyDescent="0.3">
      <c r="B4" s="9"/>
      <c r="C4" s="12"/>
      <c r="D4" s="12"/>
      <c r="E4" s="68"/>
      <c r="G4" s="9" t="s">
        <v>102</v>
      </c>
      <c r="H4" s="13">
        <v>0.03</v>
      </c>
      <c r="I4" s="13">
        <v>0.03</v>
      </c>
      <c r="J4" s="73">
        <v>0.03</v>
      </c>
      <c r="L4" s="71" t="s">
        <v>74</v>
      </c>
      <c r="M4" s="87"/>
      <c r="N4"/>
    </row>
    <row r="5" spans="1:30" x14ac:dyDescent="0.3">
      <c r="B5" s="46">
        <v>0.25</v>
      </c>
      <c r="C5" s="12">
        <f>IF('Consolidated View'!$C$2="Lite",D5,E5)</f>
        <v>2.4E-2</v>
      </c>
      <c r="D5" s="12">
        <v>0.05</v>
      </c>
      <c r="E5" s="68">
        <v>2.4E-2</v>
      </c>
      <c r="G5" s="9" t="s">
        <v>71</v>
      </c>
      <c r="H5" s="13">
        <f>IF('Consolidated View'!$C$2="Lite",I5,J5)</f>
        <v>1</v>
      </c>
      <c r="I5" s="13">
        <f>'Consolidated View'!$D$2</f>
        <v>1</v>
      </c>
      <c r="J5" s="73">
        <f>'Consolidated View'!$D$2</f>
        <v>1</v>
      </c>
      <c r="L5" s="71" t="s">
        <v>0</v>
      </c>
      <c r="N5"/>
    </row>
    <row r="6" spans="1:30" x14ac:dyDescent="0.3">
      <c r="B6" s="46">
        <v>0.5</v>
      </c>
      <c r="C6" s="12">
        <f>IF('Consolidated View'!$C$2="Lite",D6,E6)</f>
        <v>2.4E-2</v>
      </c>
      <c r="D6" s="12">
        <v>0.05</v>
      </c>
      <c r="E6" s="68">
        <v>2.4E-2</v>
      </c>
      <c r="G6" s="9" t="s">
        <v>103</v>
      </c>
      <c r="H6" s="13">
        <v>0.5</v>
      </c>
      <c r="I6" s="13">
        <v>0.5</v>
      </c>
      <c r="J6" s="73">
        <v>0.5</v>
      </c>
      <c r="L6" s="71" t="s">
        <v>75</v>
      </c>
      <c r="N6"/>
    </row>
    <row r="7" spans="1:30" x14ac:dyDescent="0.3">
      <c r="B7" s="46">
        <v>1</v>
      </c>
      <c r="C7" s="12">
        <f>IF('Consolidated View'!$C$2="Lite",D7,E7)</f>
        <v>2.2499999999999999E-2</v>
      </c>
      <c r="D7" s="12">
        <v>0.05</v>
      </c>
      <c r="E7" s="68">
        <v>2.2499999999999999E-2</v>
      </c>
      <c r="G7" s="9" t="s">
        <v>72</v>
      </c>
      <c r="H7" s="13">
        <f>IF('Consolidated View'!$C$2="Lite",I7,J7)</f>
        <v>0.4</v>
      </c>
      <c r="I7" s="13">
        <v>0.4</v>
      </c>
      <c r="J7" s="73">
        <v>0.4</v>
      </c>
      <c r="L7" s="71" t="s">
        <v>76</v>
      </c>
      <c r="N7"/>
    </row>
    <row r="8" spans="1:30" ht="15" thickBot="1" x14ac:dyDescent="0.35">
      <c r="B8" s="46">
        <v>2</v>
      </c>
      <c r="C8" s="12">
        <f>IF('Consolidated View'!$C$2="Lite",D8,E8)</f>
        <v>1.8800000000000001E-2</v>
      </c>
      <c r="D8" s="12">
        <v>0.05</v>
      </c>
      <c r="E8" s="68">
        <v>1.8800000000000001E-2</v>
      </c>
      <c r="G8" s="25" t="s">
        <v>73</v>
      </c>
      <c r="H8" s="74">
        <f>IF('Consolidated View'!$C$2="Lite",I8,J8)</f>
        <v>1.4142135623730951</v>
      </c>
      <c r="I8" s="64">
        <v>1</v>
      </c>
      <c r="J8" s="75">
        <f>SQRT(2)</f>
        <v>1.4142135623730951</v>
      </c>
      <c r="L8" s="71" t="s">
        <v>77</v>
      </c>
      <c r="N8"/>
    </row>
    <row r="9" spans="1:30" x14ac:dyDescent="0.3">
      <c r="B9" s="46">
        <v>3</v>
      </c>
      <c r="C9" s="12">
        <f>IF('Consolidated View'!$C$2="Lite",D9,E9)</f>
        <v>1.7299999999999999E-2</v>
      </c>
      <c r="D9" s="12">
        <v>0.05</v>
      </c>
      <c r="E9" s="68">
        <v>1.7299999999999999E-2</v>
      </c>
      <c r="L9" s="71" t="s">
        <v>78</v>
      </c>
      <c r="R9" s="21"/>
    </row>
    <row r="10" spans="1:30" ht="15" thickBot="1" x14ac:dyDescent="0.35">
      <c r="B10" s="46">
        <v>5</v>
      </c>
      <c r="C10" s="12">
        <f>IF('Consolidated View'!$C$2="Lite",D10,E10)</f>
        <v>1.4999999999999999E-2</v>
      </c>
      <c r="D10" s="12">
        <v>0.05</v>
      </c>
      <c r="E10" s="68">
        <v>1.4999999999999999E-2</v>
      </c>
      <c r="L10" s="72" t="s">
        <v>79</v>
      </c>
      <c r="R10" s="21"/>
    </row>
    <row r="11" spans="1:30" x14ac:dyDescent="0.3">
      <c r="B11" s="46">
        <v>10</v>
      </c>
      <c r="C11" s="12">
        <f>IF('Consolidated View'!$C$2="Lite",D11,E11)</f>
        <v>1.4999999999999999E-2</v>
      </c>
      <c r="D11" s="12">
        <v>0.05</v>
      </c>
      <c r="E11" s="68">
        <v>1.4999999999999999E-2</v>
      </c>
      <c r="R11" s="21"/>
    </row>
    <row r="12" spans="1:30" x14ac:dyDescent="0.3">
      <c r="B12" s="46">
        <v>15</v>
      </c>
      <c r="C12" s="12">
        <f>IF('Consolidated View'!$C$2="Lite",D12,E12)</f>
        <v>1.4999999999999999E-2</v>
      </c>
      <c r="D12" s="12">
        <v>0.05</v>
      </c>
      <c r="E12" s="68">
        <v>1.4999999999999999E-2</v>
      </c>
      <c r="R12" s="21"/>
    </row>
    <row r="13" spans="1:30" x14ac:dyDescent="0.3">
      <c r="B13" s="46">
        <v>20</v>
      </c>
      <c r="C13" s="12">
        <f>IF('Consolidated View'!$C$2="Lite",D13,E13)</f>
        <v>1.4999999999999999E-2</v>
      </c>
      <c r="D13" s="12">
        <v>0.05</v>
      </c>
      <c r="E13" s="68">
        <v>1.4999999999999999E-2</v>
      </c>
      <c r="R13" s="21"/>
      <c r="AD13" s="3"/>
    </row>
    <row r="14" spans="1:30" ht="15" thickBot="1" x14ac:dyDescent="0.35">
      <c r="B14" s="50">
        <v>30</v>
      </c>
      <c r="C14" s="69">
        <f>IF('Consolidated View'!$C$2="Lite",D14,E14)</f>
        <v>1.4999999999999999E-2</v>
      </c>
      <c r="D14" s="69">
        <v>0.05</v>
      </c>
      <c r="E14" s="70">
        <v>1.4999999999999999E-2</v>
      </c>
      <c r="R14" s="21"/>
      <c r="AD14" s="3"/>
    </row>
    <row r="15" spans="1:30" ht="15" thickBot="1" x14ac:dyDescent="0.35">
      <c r="C15" s="12"/>
      <c r="D15" s="12"/>
      <c r="E15" s="12"/>
      <c r="V15" s="3"/>
    </row>
    <row r="16" spans="1:30" ht="16.2" thickBot="1" x14ac:dyDescent="0.35">
      <c r="B16" s="150" t="s">
        <v>101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2"/>
      <c r="V16" s="3"/>
    </row>
    <row r="17" spans="2:27" x14ac:dyDescent="0.3">
      <c r="B17" s="102"/>
      <c r="C17" s="103">
        <v>0.25</v>
      </c>
      <c r="D17" s="103">
        <v>0.5</v>
      </c>
      <c r="E17" s="103">
        <v>1</v>
      </c>
      <c r="F17" s="103">
        <v>2</v>
      </c>
      <c r="G17" s="103">
        <v>3</v>
      </c>
      <c r="H17" s="103">
        <v>5</v>
      </c>
      <c r="I17" s="103">
        <v>10</v>
      </c>
      <c r="J17" s="103">
        <v>15</v>
      </c>
      <c r="K17" s="103">
        <v>20</v>
      </c>
      <c r="L17" s="104">
        <v>30</v>
      </c>
      <c r="N17" s="15"/>
      <c r="O17" s="113"/>
      <c r="P17" s="113"/>
      <c r="Q17" s="113"/>
      <c r="R17" s="113"/>
      <c r="S17" s="113"/>
      <c r="T17" s="113"/>
      <c r="U17" s="113"/>
      <c r="V17" s="3"/>
      <c r="W17" s="3"/>
      <c r="X17" s="3"/>
      <c r="Y17" s="3"/>
      <c r="Z17" s="3"/>
      <c r="AA17" s="3"/>
    </row>
    <row r="18" spans="2:27" x14ac:dyDescent="0.3">
      <c r="B18" s="46">
        <v>0.25</v>
      </c>
      <c r="C18" s="109">
        <f>IF('Consolidated View'!$C$2="Lite",C44,C31)</f>
        <v>1</v>
      </c>
      <c r="D18" s="109">
        <f>IF('Consolidated View'!$C$2="Lite",D44,D31)</f>
        <v>0.97044553354850815</v>
      </c>
      <c r="E18" s="109">
        <f>IF('Consolidated View'!$C$2="Lite",E44,E31)</f>
        <v>0.91393118527122819</v>
      </c>
      <c r="F18" s="109">
        <f>IF('Consolidated View'!$C$2="Lite",F44,F31)</f>
        <v>0.81058424597018708</v>
      </c>
      <c r="G18" s="109">
        <f>IF('Consolidated View'!$C$2="Lite",G44,G31)</f>
        <v>0.71892373343192617</v>
      </c>
      <c r="H18" s="109">
        <f>IF('Consolidated View'!$C$2="Lite",H44,H31)</f>
        <v>0.56552543869953709</v>
      </c>
      <c r="I18" s="109">
        <f>IF('Consolidated View'!$C$2="Lite",I44,I31)</f>
        <v>0.4</v>
      </c>
      <c r="J18" s="109">
        <f>IF('Consolidated View'!$C$2="Lite",J44,J31)</f>
        <v>0.4</v>
      </c>
      <c r="K18" s="109">
        <f>IF('Consolidated View'!$C$2="Lite",K44,K31)</f>
        <v>0.4</v>
      </c>
      <c r="L18" s="110">
        <f>IF('Consolidated View'!$C$2="Lite",L44,L31)</f>
        <v>0.4</v>
      </c>
      <c r="N18" s="15"/>
    </row>
    <row r="19" spans="2:27" x14ac:dyDescent="0.3">
      <c r="B19" s="46">
        <v>0.5</v>
      </c>
      <c r="C19" s="109">
        <f>IF('Consolidated View'!$C$2="Lite",C45,C32)</f>
        <v>0.97044553354850815</v>
      </c>
      <c r="D19" s="109">
        <f>IF('Consolidated View'!$C$2="Lite",D45,D32)</f>
        <v>1</v>
      </c>
      <c r="E19" s="109">
        <f>IF('Consolidated View'!$C$2="Lite",E45,E32)</f>
        <v>0.97044553354850815</v>
      </c>
      <c r="F19" s="109">
        <f>IF('Consolidated View'!$C$2="Lite",F45,F32)</f>
        <v>0.91393118527122819</v>
      </c>
      <c r="G19" s="109">
        <f>IF('Consolidated View'!$C$2="Lite",G45,G32)</f>
        <v>0.86070797642505781</v>
      </c>
      <c r="H19" s="109">
        <f>IF('Consolidated View'!$C$2="Lite",H45,H32)</f>
        <v>0.76337949433685315</v>
      </c>
      <c r="I19" s="109">
        <f>IF('Consolidated View'!$C$2="Lite",I45,I32)</f>
        <v>0.56552543869953709</v>
      </c>
      <c r="J19" s="109">
        <f>IF('Consolidated View'!$C$2="Lite",J45,J32)</f>
        <v>0.418951549247639</v>
      </c>
      <c r="K19" s="109">
        <f>IF('Consolidated View'!$C$2="Lite",K45,K32)</f>
        <v>0.4</v>
      </c>
      <c r="L19" s="110">
        <f>IF('Consolidated View'!$C$2="Lite",L45,L32)</f>
        <v>0.4</v>
      </c>
      <c r="N19" s="15"/>
    </row>
    <row r="20" spans="2:27" x14ac:dyDescent="0.3">
      <c r="B20" s="46">
        <v>1</v>
      </c>
      <c r="C20" s="109">
        <f>IF('Consolidated View'!$C$2="Lite",C46,C33)</f>
        <v>0.91393118527122819</v>
      </c>
      <c r="D20" s="109">
        <f>IF('Consolidated View'!$C$2="Lite",D46,D33)</f>
        <v>0.97044553354850815</v>
      </c>
      <c r="E20" s="109">
        <f>IF('Consolidated View'!$C$2="Lite",E46,E33)</f>
        <v>1</v>
      </c>
      <c r="F20" s="109">
        <f>IF('Consolidated View'!$C$2="Lite",F46,F33)</f>
        <v>0.97044553354850815</v>
      </c>
      <c r="G20" s="109">
        <f>IF('Consolidated View'!$C$2="Lite",G46,G33)</f>
        <v>0.94176453358424872</v>
      </c>
      <c r="H20" s="109">
        <f>IF('Consolidated View'!$C$2="Lite",H46,H33)</f>
        <v>0.88692043671715748</v>
      </c>
      <c r="I20" s="109">
        <f>IF('Consolidated View'!$C$2="Lite",I46,I33)</f>
        <v>0.76337949433685315</v>
      </c>
      <c r="J20" s="109">
        <f>IF('Consolidated View'!$C$2="Lite",J46,J33)</f>
        <v>0.65704681981505675</v>
      </c>
      <c r="K20" s="109">
        <f>IF('Consolidated View'!$C$2="Lite",K46,K33)</f>
        <v>0.56552543869953709</v>
      </c>
      <c r="L20" s="110">
        <f>IF('Consolidated View'!$C$2="Lite",L46,L33)</f>
        <v>0.418951549247639</v>
      </c>
      <c r="N20" s="15"/>
      <c r="O20" s="4"/>
      <c r="P20" s="4"/>
      <c r="Q20" s="4"/>
      <c r="R20" s="4"/>
      <c r="S20" s="4"/>
      <c r="T20" s="4"/>
      <c r="U20" s="4"/>
    </row>
    <row r="21" spans="2:27" x14ac:dyDescent="0.3">
      <c r="B21" s="46">
        <v>2</v>
      </c>
      <c r="C21" s="109">
        <f>IF('Consolidated View'!$C$2="Lite",C47,C34)</f>
        <v>0.81058424597018708</v>
      </c>
      <c r="D21" s="109">
        <f>IF('Consolidated View'!$C$2="Lite",D47,D34)</f>
        <v>0.91393118527122819</v>
      </c>
      <c r="E21" s="109">
        <f>IF('Consolidated View'!$C$2="Lite",E47,E34)</f>
        <v>0.97044553354850815</v>
      </c>
      <c r="F21" s="109">
        <f>IF('Consolidated View'!$C$2="Lite",F47,F34)</f>
        <v>1</v>
      </c>
      <c r="G21" s="109">
        <f>IF('Consolidated View'!$C$2="Lite",G47,G34)</f>
        <v>0.98511193960306265</v>
      </c>
      <c r="H21" s="109">
        <f>IF('Consolidated View'!$C$2="Lite",H47,H34)</f>
        <v>0.95599748183309996</v>
      </c>
      <c r="I21" s="109">
        <f>IF('Consolidated View'!$C$2="Lite",I47,I34)</f>
        <v>0.88692043671715748</v>
      </c>
      <c r="J21" s="109">
        <f>IF('Consolidated View'!$C$2="Lite",J47,J34)</f>
        <v>0.82283465805601841</v>
      </c>
      <c r="K21" s="109">
        <f>IF('Consolidated View'!$C$2="Lite",K47,K34)</f>
        <v>0.76337949433685315</v>
      </c>
      <c r="L21" s="110">
        <f>IF('Consolidated View'!$C$2="Lite",L47,L34)</f>
        <v>0.65704681981505675</v>
      </c>
      <c r="N21" s="15"/>
    </row>
    <row r="22" spans="2:27" x14ac:dyDescent="0.3">
      <c r="B22" s="46">
        <v>3</v>
      </c>
      <c r="C22" s="109">
        <f>IF('Consolidated View'!$C$2="Lite",C48,C35)</f>
        <v>0.71892373343192617</v>
      </c>
      <c r="D22" s="109">
        <f>IF('Consolidated View'!$C$2="Lite",D48,D35)</f>
        <v>0.86070797642505781</v>
      </c>
      <c r="E22" s="109">
        <f>IF('Consolidated View'!$C$2="Lite",E48,E35)</f>
        <v>0.94176453358424872</v>
      </c>
      <c r="F22" s="109">
        <f>IF('Consolidated View'!$C$2="Lite",F48,F35)</f>
        <v>0.98511193960306265</v>
      </c>
      <c r="G22" s="109">
        <f>IF('Consolidated View'!$C$2="Lite",G48,G35)</f>
        <v>1</v>
      </c>
      <c r="H22" s="109">
        <f>IF('Consolidated View'!$C$2="Lite",H48,H35)</f>
        <v>0.98019867330675525</v>
      </c>
      <c r="I22" s="109">
        <f>IF('Consolidated View'!$C$2="Lite",I48,I35)</f>
        <v>0.93239381990594827</v>
      </c>
      <c r="J22" s="109">
        <f>IF('Consolidated View'!$C$2="Lite",J48,J35)</f>
        <v>0.88692043671715748</v>
      </c>
      <c r="K22" s="109">
        <f>IF('Consolidated View'!$C$2="Lite",K48,K35)</f>
        <v>0.8436648165963837</v>
      </c>
      <c r="L22" s="110">
        <f>IF('Consolidated View'!$C$2="Lite",L48,L35)</f>
        <v>0.76337949433685326</v>
      </c>
      <c r="N22" s="15"/>
    </row>
    <row r="23" spans="2:27" x14ac:dyDescent="0.3">
      <c r="B23" s="46">
        <v>5</v>
      </c>
      <c r="C23" s="109">
        <f>IF('Consolidated View'!$C$2="Lite",C49,C36)</f>
        <v>0.56552543869953709</v>
      </c>
      <c r="D23" s="109">
        <f>IF('Consolidated View'!$C$2="Lite",D49,D36)</f>
        <v>0.76337949433685315</v>
      </c>
      <c r="E23" s="109">
        <f>IF('Consolidated View'!$C$2="Lite",E49,E36)</f>
        <v>0.88692043671715748</v>
      </c>
      <c r="F23" s="109">
        <f>IF('Consolidated View'!$C$2="Lite",F49,F36)</f>
        <v>0.95599748183309996</v>
      </c>
      <c r="G23" s="109">
        <f>IF('Consolidated View'!$C$2="Lite",G49,G36)</f>
        <v>0.98019867330675525</v>
      </c>
      <c r="H23" s="109">
        <f>IF('Consolidated View'!$C$2="Lite",H49,H36)</f>
        <v>1</v>
      </c>
      <c r="I23" s="109">
        <f>IF('Consolidated View'!$C$2="Lite",I49,I36)</f>
        <v>0.97044553354850815</v>
      </c>
      <c r="J23" s="109">
        <f>IF('Consolidated View'!$C$2="Lite",J49,J36)</f>
        <v>0.94176453358424872</v>
      </c>
      <c r="K23" s="109">
        <f>IF('Consolidated View'!$C$2="Lite",K49,K36)</f>
        <v>0.91393118527122819</v>
      </c>
      <c r="L23" s="110">
        <f>IF('Consolidated View'!$C$2="Lite",L49,L36)</f>
        <v>0.86070797642505781</v>
      </c>
      <c r="N23" s="15"/>
    </row>
    <row r="24" spans="2:27" x14ac:dyDescent="0.3">
      <c r="B24" s="46">
        <v>10</v>
      </c>
      <c r="C24" s="109">
        <f>IF('Consolidated View'!$C$2="Lite",C50,C37)</f>
        <v>0.4</v>
      </c>
      <c r="D24" s="109">
        <f>IF('Consolidated View'!$C$2="Lite",D50,D37)</f>
        <v>0.56552543869953709</v>
      </c>
      <c r="E24" s="109">
        <f>IF('Consolidated View'!$C$2="Lite",E50,E37)</f>
        <v>0.76337949433685315</v>
      </c>
      <c r="F24" s="109">
        <f>IF('Consolidated View'!$C$2="Lite",F50,F37)</f>
        <v>0.88692043671715748</v>
      </c>
      <c r="G24" s="109">
        <f>IF('Consolidated View'!$C$2="Lite",G50,G37)</f>
        <v>0.93239381990594827</v>
      </c>
      <c r="H24" s="109">
        <f>IF('Consolidated View'!$C$2="Lite",H50,H37)</f>
        <v>0.97044553354850815</v>
      </c>
      <c r="I24" s="109">
        <f>IF('Consolidated View'!$C$2="Lite",I50,I37)</f>
        <v>1</v>
      </c>
      <c r="J24" s="109">
        <f>IF('Consolidated View'!$C$2="Lite",J50,J37)</f>
        <v>0.98511193960306265</v>
      </c>
      <c r="K24" s="109">
        <f>IF('Consolidated View'!$C$2="Lite",K50,K37)</f>
        <v>0.97044553354850815</v>
      </c>
      <c r="L24" s="110">
        <f>IF('Consolidated View'!$C$2="Lite",L50,L37)</f>
        <v>0.94176453358424872</v>
      </c>
      <c r="N24" s="15"/>
    </row>
    <row r="25" spans="2:27" x14ac:dyDescent="0.3">
      <c r="B25" s="46">
        <v>15</v>
      </c>
      <c r="C25" s="109">
        <f>IF('Consolidated View'!$C$2="Lite",C51,C38)</f>
        <v>0.4</v>
      </c>
      <c r="D25" s="109">
        <f>IF('Consolidated View'!$C$2="Lite",D51,D38)</f>
        <v>0.418951549247639</v>
      </c>
      <c r="E25" s="109">
        <f>IF('Consolidated View'!$C$2="Lite",E51,E38)</f>
        <v>0.65704681981505675</v>
      </c>
      <c r="F25" s="109">
        <f>IF('Consolidated View'!$C$2="Lite",F51,F38)</f>
        <v>0.82283465805601841</v>
      </c>
      <c r="G25" s="109">
        <f>IF('Consolidated View'!$C$2="Lite",G51,G38)</f>
        <v>0.88692043671715748</v>
      </c>
      <c r="H25" s="109">
        <f>IF('Consolidated View'!$C$2="Lite",H51,H38)</f>
        <v>0.94176453358424872</v>
      </c>
      <c r="I25" s="109">
        <f>IF('Consolidated View'!$C$2="Lite",I51,I38)</f>
        <v>0.98511193960306265</v>
      </c>
      <c r="J25" s="109">
        <f>IF('Consolidated View'!$C$2="Lite",J51,J38)</f>
        <v>1</v>
      </c>
      <c r="K25" s="109">
        <f>IF('Consolidated View'!$C$2="Lite",K51,K38)</f>
        <v>0.99004983374916811</v>
      </c>
      <c r="L25" s="110">
        <f>IF('Consolidated View'!$C$2="Lite",L51,L38)</f>
        <v>0.97044553354850815</v>
      </c>
      <c r="N25" s="15"/>
      <c r="O25" s="3"/>
      <c r="P25" s="3"/>
      <c r="Q25" s="3"/>
    </row>
    <row r="26" spans="2:27" x14ac:dyDescent="0.3">
      <c r="B26" s="46">
        <v>20</v>
      </c>
      <c r="C26" s="109">
        <f>IF('Consolidated View'!$C$2="Lite",C52,C39)</f>
        <v>0.4</v>
      </c>
      <c r="D26" s="109">
        <f>IF('Consolidated View'!$C$2="Lite",D52,D39)</f>
        <v>0.4</v>
      </c>
      <c r="E26" s="109">
        <f>IF('Consolidated View'!$C$2="Lite",E52,E39)</f>
        <v>0.56552543869953709</v>
      </c>
      <c r="F26" s="109">
        <f>IF('Consolidated View'!$C$2="Lite",F52,F39)</f>
        <v>0.76337949433685315</v>
      </c>
      <c r="G26" s="109">
        <f>IF('Consolidated View'!$C$2="Lite",G52,G39)</f>
        <v>0.8436648165963837</v>
      </c>
      <c r="H26" s="109">
        <f>IF('Consolidated View'!$C$2="Lite",H52,H39)</f>
        <v>0.91393118527122819</v>
      </c>
      <c r="I26" s="109">
        <f>IF('Consolidated View'!$C$2="Lite",I52,I39)</f>
        <v>0.97044553354850815</v>
      </c>
      <c r="J26" s="109">
        <f>IF('Consolidated View'!$C$2="Lite",J52,J39)</f>
        <v>0.99004983374916811</v>
      </c>
      <c r="K26" s="109">
        <f>IF('Consolidated View'!$C$2="Lite",K52,K39)</f>
        <v>1</v>
      </c>
      <c r="L26" s="110">
        <f>IF('Consolidated View'!$C$2="Lite",L52,L39)</f>
        <v>0.98511193960306265</v>
      </c>
      <c r="N26" s="15"/>
      <c r="O26" s="3"/>
      <c r="P26" s="3"/>
      <c r="Q26" s="3"/>
    </row>
    <row r="27" spans="2:27" ht="15" thickBot="1" x14ac:dyDescent="0.35">
      <c r="B27" s="50">
        <v>30</v>
      </c>
      <c r="C27" s="111">
        <f>IF('Consolidated View'!$C$2="Lite",C53,C40)</f>
        <v>0.4</v>
      </c>
      <c r="D27" s="111">
        <f>IF('Consolidated View'!$C$2="Lite",D53,D40)</f>
        <v>0.4</v>
      </c>
      <c r="E27" s="111">
        <f>IF('Consolidated View'!$C$2="Lite",E53,E40)</f>
        <v>0.418951549247639</v>
      </c>
      <c r="F27" s="111">
        <f>IF('Consolidated View'!$C$2="Lite",F53,F40)</f>
        <v>0.65704681981505675</v>
      </c>
      <c r="G27" s="111">
        <f>IF('Consolidated View'!$C$2="Lite",G53,G40)</f>
        <v>0.76337949433685326</v>
      </c>
      <c r="H27" s="111">
        <f>IF('Consolidated View'!$C$2="Lite",H53,H40)</f>
        <v>0.86070797642505781</v>
      </c>
      <c r="I27" s="111">
        <f>IF('Consolidated View'!$C$2="Lite",I53,I40)</f>
        <v>0.94176453358424872</v>
      </c>
      <c r="J27" s="111">
        <f>IF('Consolidated View'!$C$2="Lite",J53,J40)</f>
        <v>0.97044553354850815</v>
      </c>
      <c r="K27" s="111">
        <f>IF('Consolidated View'!$C$2="Lite",K53,K40)</f>
        <v>0.98511193960306265</v>
      </c>
      <c r="L27" s="112">
        <f>IF('Consolidated View'!$C$2="Lite",L53,L40)</f>
        <v>1</v>
      </c>
      <c r="O27" s="3"/>
      <c r="P27" s="3"/>
      <c r="Q27" s="3"/>
      <c r="S27" s="3"/>
    </row>
    <row r="28" spans="2:27" ht="15" thickBot="1" x14ac:dyDescent="0.35">
      <c r="C28" s="16"/>
      <c r="O28" s="3"/>
      <c r="P28" s="3"/>
      <c r="Q28" s="3"/>
      <c r="S28" s="3"/>
      <c r="T28" s="3"/>
    </row>
    <row r="29" spans="2:27" x14ac:dyDescent="0.3">
      <c r="B29" s="147" t="s">
        <v>115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9"/>
      <c r="O29" s="3"/>
      <c r="P29" s="3"/>
      <c r="Q29" s="3"/>
      <c r="S29" s="3"/>
      <c r="T29" s="3"/>
      <c r="U29" s="3"/>
    </row>
    <row r="30" spans="2:27" x14ac:dyDescent="0.3">
      <c r="B30" s="46"/>
      <c r="C30" s="14">
        <v>0.25</v>
      </c>
      <c r="D30" s="14">
        <v>0.5</v>
      </c>
      <c r="E30" s="14">
        <v>1</v>
      </c>
      <c r="F30" s="14">
        <v>2</v>
      </c>
      <c r="G30" s="14">
        <v>3</v>
      </c>
      <c r="H30" s="14">
        <v>5</v>
      </c>
      <c r="I30" s="14">
        <v>10</v>
      </c>
      <c r="J30" s="14">
        <v>15</v>
      </c>
      <c r="K30" s="14">
        <v>20</v>
      </c>
      <c r="L30" s="47">
        <v>30</v>
      </c>
      <c r="O30" s="3"/>
      <c r="P30" s="3"/>
      <c r="Q30" s="3"/>
      <c r="S30" s="3"/>
      <c r="T30" s="3"/>
      <c r="U30" s="3"/>
      <c r="V30" s="3"/>
    </row>
    <row r="31" spans="2:27" x14ac:dyDescent="0.3">
      <c r="B31" s="46">
        <v>0.25</v>
      </c>
      <c r="C31" s="105">
        <f t="shared" ref="C31:L40" si="0">MIN(1,MAX(-1,MAX(EXP(-$H$4*ABS($B31-C$17)/(MIN($B31,C$17))),$H$7)))</f>
        <v>1</v>
      </c>
      <c r="D31" s="105">
        <f t="shared" si="0"/>
        <v>0.97044553354850815</v>
      </c>
      <c r="E31" s="105">
        <f t="shared" si="0"/>
        <v>0.91393118527122819</v>
      </c>
      <c r="F31" s="105">
        <f t="shared" si="0"/>
        <v>0.81058424597018708</v>
      </c>
      <c r="G31" s="105">
        <f t="shared" si="0"/>
        <v>0.71892373343192617</v>
      </c>
      <c r="H31" s="105">
        <f t="shared" si="0"/>
        <v>0.56552543869953709</v>
      </c>
      <c r="I31" s="105">
        <f t="shared" si="0"/>
        <v>0.4</v>
      </c>
      <c r="J31" s="105">
        <f t="shared" si="0"/>
        <v>0.4</v>
      </c>
      <c r="K31" s="105">
        <f t="shared" si="0"/>
        <v>0.4</v>
      </c>
      <c r="L31" s="106">
        <f t="shared" si="0"/>
        <v>0.4</v>
      </c>
      <c r="O31" s="3"/>
      <c r="P31" s="3"/>
      <c r="Q31" s="3"/>
      <c r="S31" s="3"/>
      <c r="T31" s="3"/>
      <c r="U31" s="3"/>
      <c r="V31" s="3"/>
      <c r="W31" s="3"/>
      <c r="X31" s="3"/>
      <c r="Y31" s="3"/>
    </row>
    <row r="32" spans="2:27" x14ac:dyDescent="0.3">
      <c r="B32" s="46">
        <v>0.5</v>
      </c>
      <c r="C32" s="105">
        <f t="shared" si="0"/>
        <v>0.97044553354850815</v>
      </c>
      <c r="D32" s="105">
        <f t="shared" si="0"/>
        <v>1</v>
      </c>
      <c r="E32" s="105">
        <f t="shared" si="0"/>
        <v>0.97044553354850815</v>
      </c>
      <c r="F32" s="105">
        <f t="shared" si="0"/>
        <v>0.91393118527122819</v>
      </c>
      <c r="G32" s="105">
        <f t="shared" si="0"/>
        <v>0.86070797642505781</v>
      </c>
      <c r="H32" s="105">
        <f t="shared" si="0"/>
        <v>0.76337949433685315</v>
      </c>
      <c r="I32" s="105">
        <f t="shared" si="0"/>
        <v>0.56552543869953709</v>
      </c>
      <c r="J32" s="105">
        <f t="shared" si="0"/>
        <v>0.418951549247639</v>
      </c>
      <c r="K32" s="105">
        <f t="shared" si="0"/>
        <v>0.4</v>
      </c>
      <c r="L32" s="106">
        <f t="shared" si="0"/>
        <v>0.4</v>
      </c>
      <c r="O32" s="3"/>
      <c r="P32" s="3"/>
      <c r="Q32" s="3"/>
    </row>
    <row r="33" spans="2:12" x14ac:dyDescent="0.3">
      <c r="B33" s="46">
        <v>1</v>
      </c>
      <c r="C33" s="105">
        <f t="shared" si="0"/>
        <v>0.91393118527122819</v>
      </c>
      <c r="D33" s="105">
        <f t="shared" si="0"/>
        <v>0.97044553354850815</v>
      </c>
      <c r="E33" s="105">
        <f t="shared" si="0"/>
        <v>1</v>
      </c>
      <c r="F33" s="105">
        <f t="shared" si="0"/>
        <v>0.97044553354850815</v>
      </c>
      <c r="G33" s="105">
        <f t="shared" si="0"/>
        <v>0.94176453358424872</v>
      </c>
      <c r="H33" s="105">
        <f t="shared" si="0"/>
        <v>0.88692043671715748</v>
      </c>
      <c r="I33" s="105">
        <f t="shared" si="0"/>
        <v>0.76337949433685315</v>
      </c>
      <c r="J33" s="105">
        <f t="shared" si="0"/>
        <v>0.65704681981505675</v>
      </c>
      <c r="K33" s="105">
        <f t="shared" si="0"/>
        <v>0.56552543869953709</v>
      </c>
      <c r="L33" s="106">
        <f t="shared" si="0"/>
        <v>0.418951549247639</v>
      </c>
    </row>
    <row r="34" spans="2:12" x14ac:dyDescent="0.3">
      <c r="B34" s="46">
        <v>2</v>
      </c>
      <c r="C34" s="105">
        <f t="shared" si="0"/>
        <v>0.81058424597018708</v>
      </c>
      <c r="D34" s="105">
        <f t="shared" si="0"/>
        <v>0.91393118527122819</v>
      </c>
      <c r="E34" s="105">
        <f t="shared" si="0"/>
        <v>0.97044553354850815</v>
      </c>
      <c r="F34" s="105">
        <f t="shared" si="0"/>
        <v>1</v>
      </c>
      <c r="G34" s="105">
        <f t="shared" si="0"/>
        <v>0.98511193960306265</v>
      </c>
      <c r="H34" s="105">
        <f t="shared" si="0"/>
        <v>0.95599748183309996</v>
      </c>
      <c r="I34" s="105">
        <f t="shared" si="0"/>
        <v>0.88692043671715748</v>
      </c>
      <c r="J34" s="105">
        <f t="shared" si="0"/>
        <v>0.82283465805601841</v>
      </c>
      <c r="K34" s="105">
        <f t="shared" si="0"/>
        <v>0.76337949433685315</v>
      </c>
      <c r="L34" s="106">
        <f t="shared" si="0"/>
        <v>0.65704681981505675</v>
      </c>
    </row>
    <row r="35" spans="2:12" x14ac:dyDescent="0.3">
      <c r="B35" s="46">
        <v>3</v>
      </c>
      <c r="C35" s="105">
        <f t="shared" si="0"/>
        <v>0.71892373343192617</v>
      </c>
      <c r="D35" s="105">
        <f t="shared" si="0"/>
        <v>0.86070797642505781</v>
      </c>
      <c r="E35" s="105">
        <f t="shared" si="0"/>
        <v>0.94176453358424872</v>
      </c>
      <c r="F35" s="105">
        <f t="shared" si="0"/>
        <v>0.98511193960306265</v>
      </c>
      <c r="G35" s="105">
        <f t="shared" si="0"/>
        <v>1</v>
      </c>
      <c r="H35" s="105">
        <f t="shared" si="0"/>
        <v>0.98019867330675525</v>
      </c>
      <c r="I35" s="105">
        <f t="shared" si="0"/>
        <v>0.93239381990594827</v>
      </c>
      <c r="J35" s="105">
        <f t="shared" si="0"/>
        <v>0.88692043671715748</v>
      </c>
      <c r="K35" s="105">
        <f t="shared" si="0"/>
        <v>0.8436648165963837</v>
      </c>
      <c r="L35" s="106">
        <f t="shared" si="0"/>
        <v>0.76337949433685326</v>
      </c>
    </row>
    <row r="36" spans="2:12" x14ac:dyDescent="0.3">
      <c r="B36" s="46">
        <v>5</v>
      </c>
      <c r="C36" s="105">
        <f t="shared" si="0"/>
        <v>0.56552543869953709</v>
      </c>
      <c r="D36" s="105">
        <f t="shared" si="0"/>
        <v>0.76337949433685315</v>
      </c>
      <c r="E36" s="105">
        <f t="shared" si="0"/>
        <v>0.88692043671715748</v>
      </c>
      <c r="F36" s="105">
        <f t="shared" si="0"/>
        <v>0.95599748183309996</v>
      </c>
      <c r="G36" s="105">
        <f t="shared" si="0"/>
        <v>0.98019867330675525</v>
      </c>
      <c r="H36" s="105">
        <f t="shared" si="0"/>
        <v>1</v>
      </c>
      <c r="I36" s="105">
        <f t="shared" si="0"/>
        <v>0.97044553354850815</v>
      </c>
      <c r="J36" s="105">
        <f t="shared" si="0"/>
        <v>0.94176453358424872</v>
      </c>
      <c r="K36" s="105">
        <f t="shared" si="0"/>
        <v>0.91393118527122819</v>
      </c>
      <c r="L36" s="106">
        <f t="shared" si="0"/>
        <v>0.86070797642505781</v>
      </c>
    </row>
    <row r="37" spans="2:12" x14ac:dyDescent="0.3">
      <c r="B37" s="46">
        <v>10</v>
      </c>
      <c r="C37" s="105">
        <f t="shared" si="0"/>
        <v>0.4</v>
      </c>
      <c r="D37" s="105">
        <f t="shared" si="0"/>
        <v>0.56552543869953709</v>
      </c>
      <c r="E37" s="105">
        <f t="shared" si="0"/>
        <v>0.76337949433685315</v>
      </c>
      <c r="F37" s="105">
        <f t="shared" si="0"/>
        <v>0.88692043671715748</v>
      </c>
      <c r="G37" s="105">
        <f t="shared" si="0"/>
        <v>0.93239381990594827</v>
      </c>
      <c r="H37" s="105">
        <f t="shared" si="0"/>
        <v>0.97044553354850815</v>
      </c>
      <c r="I37" s="105">
        <f t="shared" si="0"/>
        <v>1</v>
      </c>
      <c r="J37" s="105">
        <f t="shared" si="0"/>
        <v>0.98511193960306265</v>
      </c>
      <c r="K37" s="105">
        <f t="shared" si="0"/>
        <v>0.97044553354850815</v>
      </c>
      <c r="L37" s="106">
        <f t="shared" si="0"/>
        <v>0.94176453358424872</v>
      </c>
    </row>
    <row r="38" spans="2:12" x14ac:dyDescent="0.3">
      <c r="B38" s="46">
        <v>15</v>
      </c>
      <c r="C38" s="105">
        <f t="shared" si="0"/>
        <v>0.4</v>
      </c>
      <c r="D38" s="105">
        <f t="shared" si="0"/>
        <v>0.418951549247639</v>
      </c>
      <c r="E38" s="105">
        <f t="shared" si="0"/>
        <v>0.65704681981505675</v>
      </c>
      <c r="F38" s="105">
        <f t="shared" si="0"/>
        <v>0.82283465805601841</v>
      </c>
      <c r="G38" s="105">
        <f t="shared" si="0"/>
        <v>0.88692043671715748</v>
      </c>
      <c r="H38" s="105">
        <f t="shared" si="0"/>
        <v>0.94176453358424872</v>
      </c>
      <c r="I38" s="105">
        <f t="shared" si="0"/>
        <v>0.98511193960306265</v>
      </c>
      <c r="J38" s="105">
        <f t="shared" si="0"/>
        <v>1</v>
      </c>
      <c r="K38" s="105">
        <f t="shared" si="0"/>
        <v>0.99004983374916811</v>
      </c>
      <c r="L38" s="106">
        <f t="shared" si="0"/>
        <v>0.97044553354850815</v>
      </c>
    </row>
    <row r="39" spans="2:12" x14ac:dyDescent="0.3">
      <c r="B39" s="46">
        <v>20</v>
      </c>
      <c r="C39" s="105">
        <f t="shared" si="0"/>
        <v>0.4</v>
      </c>
      <c r="D39" s="105">
        <f t="shared" si="0"/>
        <v>0.4</v>
      </c>
      <c r="E39" s="105">
        <f t="shared" si="0"/>
        <v>0.56552543869953709</v>
      </c>
      <c r="F39" s="105">
        <f t="shared" si="0"/>
        <v>0.76337949433685315</v>
      </c>
      <c r="G39" s="105">
        <f t="shared" si="0"/>
        <v>0.8436648165963837</v>
      </c>
      <c r="H39" s="105">
        <f t="shared" si="0"/>
        <v>0.91393118527122819</v>
      </c>
      <c r="I39" s="105">
        <f t="shared" si="0"/>
        <v>0.97044553354850815</v>
      </c>
      <c r="J39" s="105">
        <f t="shared" si="0"/>
        <v>0.99004983374916811</v>
      </c>
      <c r="K39" s="105">
        <f t="shared" si="0"/>
        <v>1</v>
      </c>
      <c r="L39" s="106">
        <f t="shared" si="0"/>
        <v>0.98511193960306265</v>
      </c>
    </row>
    <row r="40" spans="2:12" ht="15" thickBot="1" x14ac:dyDescent="0.35">
      <c r="B40" s="50">
        <v>30</v>
      </c>
      <c r="C40" s="107">
        <f t="shared" si="0"/>
        <v>0.4</v>
      </c>
      <c r="D40" s="107">
        <f t="shared" si="0"/>
        <v>0.4</v>
      </c>
      <c r="E40" s="107">
        <f t="shared" si="0"/>
        <v>0.418951549247639</v>
      </c>
      <c r="F40" s="107">
        <f t="shared" si="0"/>
        <v>0.65704681981505675</v>
      </c>
      <c r="G40" s="107">
        <f t="shared" si="0"/>
        <v>0.76337949433685326</v>
      </c>
      <c r="H40" s="107">
        <f t="shared" si="0"/>
        <v>0.86070797642505781</v>
      </c>
      <c r="I40" s="107">
        <f t="shared" si="0"/>
        <v>0.94176453358424872</v>
      </c>
      <c r="J40" s="107">
        <f t="shared" si="0"/>
        <v>0.97044553354850815</v>
      </c>
      <c r="K40" s="107">
        <f t="shared" si="0"/>
        <v>0.98511193960306265</v>
      </c>
      <c r="L40" s="108">
        <f t="shared" si="0"/>
        <v>1</v>
      </c>
    </row>
    <row r="41" spans="2:12" ht="15" thickBot="1" x14ac:dyDescent="0.35"/>
    <row r="42" spans="2:12" x14ac:dyDescent="0.3">
      <c r="B42" s="144" t="s">
        <v>85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6"/>
    </row>
    <row r="43" spans="2:12" x14ac:dyDescent="0.3">
      <c r="B43" s="46"/>
      <c r="C43" s="14">
        <v>0.25</v>
      </c>
      <c r="D43" s="14">
        <v>0.5</v>
      </c>
      <c r="E43" s="14">
        <v>1</v>
      </c>
      <c r="F43" s="14">
        <v>2</v>
      </c>
      <c r="G43" s="14">
        <v>3</v>
      </c>
      <c r="H43" s="14">
        <v>5</v>
      </c>
      <c r="I43" s="14">
        <v>10</v>
      </c>
      <c r="J43" s="14">
        <v>15</v>
      </c>
      <c r="K43" s="14">
        <v>20</v>
      </c>
      <c r="L43" s="47">
        <v>30</v>
      </c>
    </row>
    <row r="44" spans="2:12" x14ac:dyDescent="0.3">
      <c r="B44" s="46">
        <v>0.25</v>
      </c>
      <c r="C44" s="105">
        <v>1</v>
      </c>
      <c r="D44" s="105">
        <v>1</v>
      </c>
      <c r="E44" s="105">
        <v>1</v>
      </c>
      <c r="F44" s="105">
        <v>1</v>
      </c>
      <c r="G44" s="105">
        <v>1</v>
      </c>
      <c r="H44" s="105">
        <v>1</v>
      </c>
      <c r="I44" s="105">
        <v>0.2</v>
      </c>
      <c r="J44" s="105">
        <v>0.2</v>
      </c>
      <c r="K44" s="105">
        <v>0.2</v>
      </c>
      <c r="L44" s="106">
        <v>0.2</v>
      </c>
    </row>
    <row r="45" spans="2:12" x14ac:dyDescent="0.3">
      <c r="B45" s="46">
        <v>0.5</v>
      </c>
      <c r="C45" s="105">
        <v>1</v>
      </c>
      <c r="D45" s="105">
        <v>1</v>
      </c>
      <c r="E45" s="105">
        <v>1</v>
      </c>
      <c r="F45" s="105">
        <v>1</v>
      </c>
      <c r="G45" s="105">
        <v>1</v>
      </c>
      <c r="H45" s="105">
        <v>1</v>
      </c>
      <c r="I45" s="105">
        <v>0.2</v>
      </c>
      <c r="J45" s="105">
        <v>0.2</v>
      </c>
      <c r="K45" s="105">
        <v>0.2</v>
      </c>
      <c r="L45" s="106">
        <v>0.2</v>
      </c>
    </row>
    <row r="46" spans="2:12" x14ac:dyDescent="0.3">
      <c r="B46" s="46">
        <v>1</v>
      </c>
      <c r="C46" s="105">
        <v>1</v>
      </c>
      <c r="D46" s="105">
        <v>1</v>
      </c>
      <c r="E46" s="105">
        <v>1</v>
      </c>
      <c r="F46" s="105">
        <v>1</v>
      </c>
      <c r="G46" s="105">
        <v>1</v>
      </c>
      <c r="H46" s="105">
        <v>1</v>
      </c>
      <c r="I46" s="105">
        <v>0.2</v>
      </c>
      <c r="J46" s="105">
        <v>0.2</v>
      </c>
      <c r="K46" s="105">
        <v>0.2</v>
      </c>
      <c r="L46" s="106">
        <v>0.2</v>
      </c>
    </row>
    <row r="47" spans="2:12" x14ac:dyDescent="0.3">
      <c r="B47" s="46">
        <v>2</v>
      </c>
      <c r="C47" s="105">
        <v>1</v>
      </c>
      <c r="D47" s="105">
        <v>1</v>
      </c>
      <c r="E47" s="105">
        <v>1</v>
      </c>
      <c r="F47" s="105">
        <v>1</v>
      </c>
      <c r="G47" s="105">
        <v>1</v>
      </c>
      <c r="H47" s="105">
        <v>1</v>
      </c>
      <c r="I47" s="105">
        <v>0.2</v>
      </c>
      <c r="J47" s="105">
        <v>0.2</v>
      </c>
      <c r="K47" s="105">
        <v>0.2</v>
      </c>
      <c r="L47" s="106">
        <v>0.2</v>
      </c>
    </row>
    <row r="48" spans="2:12" x14ac:dyDescent="0.3">
      <c r="B48" s="46">
        <v>3</v>
      </c>
      <c r="C48" s="105">
        <v>1</v>
      </c>
      <c r="D48" s="105">
        <v>1</v>
      </c>
      <c r="E48" s="105">
        <v>1</v>
      </c>
      <c r="F48" s="105">
        <v>1</v>
      </c>
      <c r="G48" s="105">
        <v>1</v>
      </c>
      <c r="H48" s="105">
        <v>1</v>
      </c>
      <c r="I48" s="105">
        <v>0.2</v>
      </c>
      <c r="J48" s="105">
        <v>0.2</v>
      </c>
      <c r="K48" s="105">
        <v>0.2</v>
      </c>
      <c r="L48" s="106">
        <v>0.2</v>
      </c>
    </row>
    <row r="49" spans="2:12" x14ac:dyDescent="0.3">
      <c r="B49" s="46">
        <v>5</v>
      </c>
      <c r="C49" s="105">
        <v>1</v>
      </c>
      <c r="D49" s="105">
        <v>1</v>
      </c>
      <c r="E49" s="105">
        <v>1</v>
      </c>
      <c r="F49" s="105">
        <v>1</v>
      </c>
      <c r="G49" s="105">
        <v>1</v>
      </c>
      <c r="H49" s="105">
        <v>1</v>
      </c>
      <c r="I49" s="105">
        <v>0.2</v>
      </c>
      <c r="J49" s="105">
        <v>0.2</v>
      </c>
      <c r="K49" s="105">
        <v>0.2</v>
      </c>
      <c r="L49" s="106">
        <v>0.2</v>
      </c>
    </row>
    <row r="50" spans="2:12" x14ac:dyDescent="0.3">
      <c r="B50" s="46">
        <v>10</v>
      </c>
      <c r="C50" s="105">
        <v>0.2</v>
      </c>
      <c r="D50" s="105">
        <v>0.2</v>
      </c>
      <c r="E50" s="105">
        <v>0.2</v>
      </c>
      <c r="F50" s="105">
        <v>0.2</v>
      </c>
      <c r="G50" s="105">
        <v>0.2</v>
      </c>
      <c r="H50" s="105">
        <v>0.2</v>
      </c>
      <c r="I50" s="105">
        <v>1</v>
      </c>
      <c r="J50" s="105">
        <v>1</v>
      </c>
      <c r="K50" s="105">
        <v>1</v>
      </c>
      <c r="L50" s="106">
        <v>1</v>
      </c>
    </row>
    <row r="51" spans="2:12" x14ac:dyDescent="0.3">
      <c r="B51" s="46">
        <v>15</v>
      </c>
      <c r="C51" s="105">
        <v>0.2</v>
      </c>
      <c r="D51" s="105">
        <v>0.2</v>
      </c>
      <c r="E51" s="105">
        <v>0.2</v>
      </c>
      <c r="F51" s="105">
        <v>0.2</v>
      </c>
      <c r="G51" s="105">
        <v>0.2</v>
      </c>
      <c r="H51" s="105">
        <v>0.2</v>
      </c>
      <c r="I51" s="105">
        <v>1</v>
      </c>
      <c r="J51" s="105">
        <v>1</v>
      </c>
      <c r="K51" s="105">
        <v>1</v>
      </c>
      <c r="L51" s="106">
        <v>1</v>
      </c>
    </row>
    <row r="52" spans="2:12" x14ac:dyDescent="0.3">
      <c r="B52" s="46">
        <v>20</v>
      </c>
      <c r="C52" s="105">
        <v>0.2</v>
      </c>
      <c r="D52" s="105">
        <v>0.2</v>
      </c>
      <c r="E52" s="105">
        <v>0.2</v>
      </c>
      <c r="F52" s="105">
        <v>0.2</v>
      </c>
      <c r="G52" s="105">
        <v>0.2</v>
      </c>
      <c r="H52" s="105">
        <v>0.2</v>
      </c>
      <c r="I52" s="105">
        <v>1</v>
      </c>
      <c r="J52" s="105">
        <v>1</v>
      </c>
      <c r="K52" s="105">
        <v>1</v>
      </c>
      <c r="L52" s="106">
        <v>1</v>
      </c>
    </row>
    <row r="53" spans="2:12" ht="15" thickBot="1" x14ac:dyDescent="0.35">
      <c r="B53" s="50">
        <v>30</v>
      </c>
      <c r="C53" s="107">
        <v>0.2</v>
      </c>
      <c r="D53" s="107">
        <v>0.2</v>
      </c>
      <c r="E53" s="107">
        <v>0.2</v>
      </c>
      <c r="F53" s="107">
        <v>0.2</v>
      </c>
      <c r="G53" s="107">
        <v>0.2</v>
      </c>
      <c r="H53" s="107">
        <v>0.2</v>
      </c>
      <c r="I53" s="107">
        <v>1</v>
      </c>
      <c r="J53" s="107">
        <v>1</v>
      </c>
      <c r="K53" s="107">
        <v>1</v>
      </c>
      <c r="L53" s="108">
        <v>1</v>
      </c>
    </row>
  </sheetData>
  <sheetProtection algorithmName="SHA-512" hashValue="GHOYDjRqKdemgGznMgXQmCCsiJGhM+CUvMsZ1lDl0J0ZeMKA47e5c+GEM22dpT9Ex+6ptQc2fKEbrRNXfbT7Eg==" saltValue="OGc5z+NZQEzo8NBMxJeNdw==" spinCount="100000" sheet="1" objects="1" scenarios="1"/>
  <mergeCells count="4">
    <mergeCell ref="B42:L42"/>
    <mergeCell ref="B29:L29"/>
    <mergeCell ref="B16:L16"/>
    <mergeCell ref="B1:L1"/>
  </mergeCells>
  <conditionalFormatting sqref="C18:L2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6">
      <colorScale>
        <cfvo type="min"/>
        <cfvo type="max"/>
        <color rgb="FFFFEF9C"/>
        <color rgb="FF63BE7B"/>
      </colorScale>
    </cfRule>
  </conditionalFormatting>
  <conditionalFormatting sqref="C31:L40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">
      <colorScale>
        <cfvo type="min"/>
        <cfvo type="max"/>
        <color rgb="FFFFEF9C"/>
        <color rgb="FF63BE7B"/>
      </colorScale>
    </cfRule>
  </conditionalFormatting>
  <conditionalFormatting sqref="C44:L5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B1:AI32"/>
  <sheetViews>
    <sheetView zoomScaleNormal="100" workbookViewId="0">
      <selection activeCell="E4" sqref="E4"/>
    </sheetView>
  </sheetViews>
  <sheetFormatPr defaultColWidth="8.77734375" defaultRowHeight="14.4" x14ac:dyDescent="0.3"/>
  <cols>
    <col min="2" max="2" width="23.77734375" customWidth="1"/>
    <col min="3" max="3" width="15.77734375" customWidth="1"/>
    <col min="4" max="4" width="10" customWidth="1"/>
    <col min="5" max="5" width="23.77734375" customWidth="1"/>
    <col min="6" max="6" width="15.77734375" customWidth="1"/>
    <col min="12" max="12" width="10.77734375" customWidth="1"/>
    <col min="13" max="13" width="6.109375" bestFit="1" customWidth="1"/>
    <col min="14" max="14" width="10.77734375" customWidth="1"/>
    <col min="15" max="15" width="13.109375" bestFit="1" customWidth="1"/>
    <col min="34" max="34" width="12.77734375" bestFit="1" customWidth="1"/>
  </cols>
  <sheetData>
    <row r="1" spans="2:35" ht="15" thickBot="1" x14ac:dyDescent="0.35"/>
    <row r="2" spans="2:35" x14ac:dyDescent="0.3">
      <c r="B2" s="8" t="s">
        <v>1</v>
      </c>
      <c r="C2" s="141" t="s">
        <v>82</v>
      </c>
      <c r="D2" s="3" cm="1">
        <f t="array" ref="D2">_xlfn.IFS(C2 = "Medium", 1, C2 = "Low", 0.75, C2 = "High", 1.25, C2 = "Lite", 1)</f>
        <v>1</v>
      </c>
    </row>
    <row r="3" spans="2:35" x14ac:dyDescent="0.3">
      <c r="B3" s="9" t="s">
        <v>96</v>
      </c>
      <c r="C3" s="33">
        <f ca="1">'GIRR Delta Aggregations'!C16</f>
        <v>4964393.6329919295</v>
      </c>
      <c r="AI3" s="54"/>
    </row>
    <row r="4" spans="2:35" ht="15" thickBot="1" x14ac:dyDescent="0.35">
      <c r="B4" s="97" t="s">
        <v>97</v>
      </c>
      <c r="C4" s="98">
        <f ca="1">C3</f>
        <v>4964393.6329919295</v>
      </c>
      <c r="AI4" s="54"/>
    </row>
    <row r="5" spans="2:35" x14ac:dyDescent="0.3">
      <c r="AI5" s="54"/>
    </row>
    <row r="6" spans="2:35" x14ac:dyDescent="0.3">
      <c r="B6" t="s">
        <v>99</v>
      </c>
    </row>
    <row r="7" spans="2:35" x14ac:dyDescent="0.3">
      <c r="B7" t="s">
        <v>3</v>
      </c>
    </row>
    <row r="8" spans="2:35" ht="15" thickBot="1" x14ac:dyDescent="0.35"/>
    <row r="9" spans="2:35" x14ac:dyDescent="0.3">
      <c r="B9" s="147" t="s">
        <v>86</v>
      </c>
      <c r="C9" s="148"/>
      <c r="D9" s="148"/>
      <c r="E9" s="148"/>
      <c r="F9" s="149"/>
      <c r="H9" s="147" t="s">
        <v>4</v>
      </c>
      <c r="I9" s="148"/>
      <c r="J9" s="149"/>
      <c r="L9" s="147" t="s">
        <v>5</v>
      </c>
      <c r="M9" s="148"/>
      <c r="N9" s="148"/>
      <c r="O9" s="149"/>
      <c r="AB9" s="54"/>
    </row>
    <row r="10" spans="2:35" ht="15" thickBot="1" x14ac:dyDescent="0.35">
      <c r="B10" s="9"/>
      <c r="C10" s="10"/>
      <c r="D10" s="10"/>
      <c r="E10" s="10"/>
      <c r="F10" s="31"/>
      <c r="G10" s="1"/>
      <c r="H10" s="25"/>
      <c r="I10" s="26"/>
      <c r="J10" s="27"/>
      <c r="L10" s="50"/>
      <c r="M10" s="51"/>
      <c r="N10" s="51"/>
      <c r="O10" s="52"/>
      <c r="AB10" s="54"/>
    </row>
    <row r="11" spans="2:35" x14ac:dyDescent="0.3">
      <c r="B11" s="8" t="s">
        <v>6</v>
      </c>
      <c r="C11" s="44">
        <v>45376</v>
      </c>
      <c r="D11" s="88" t="s">
        <v>100</v>
      </c>
      <c r="E11" s="89">
        <v>100000000</v>
      </c>
      <c r="F11" s="35"/>
      <c r="H11" s="8"/>
      <c r="I11" s="23" t="s">
        <v>7</v>
      </c>
      <c r="J11" s="24">
        <v>5.48</v>
      </c>
      <c r="L11" s="46" t="s">
        <v>8</v>
      </c>
      <c r="M11" s="14" t="s">
        <v>98</v>
      </c>
      <c r="N11" s="14" t="s">
        <v>9</v>
      </c>
      <c r="O11" s="47" t="s">
        <v>10</v>
      </c>
      <c r="AB11" s="54"/>
    </row>
    <row r="12" spans="2:35" ht="15" thickBot="1" x14ac:dyDescent="0.35">
      <c r="B12" s="25" t="s">
        <v>11</v>
      </c>
      <c r="C12" s="45">
        <v>47202</v>
      </c>
      <c r="D12" s="26"/>
      <c r="E12" s="26"/>
      <c r="F12" s="38"/>
      <c r="H12" s="9" t="s">
        <v>12</v>
      </c>
      <c r="I12" s="36" t="s">
        <v>13</v>
      </c>
      <c r="J12" s="11">
        <v>5.2227499999999996</v>
      </c>
      <c r="L12" s="48">
        <v>45373</v>
      </c>
      <c r="M12" s="10">
        <v>1</v>
      </c>
      <c r="N12" s="10">
        <v>5.5556882722346996</v>
      </c>
      <c r="O12" s="11">
        <v>0.99984780094589998</v>
      </c>
      <c r="AB12" s="54"/>
    </row>
    <row r="13" spans="2:35" ht="15" thickBot="1" x14ac:dyDescent="0.35">
      <c r="B13" s="9"/>
      <c r="C13" s="10"/>
      <c r="D13" s="10"/>
      <c r="E13" s="10"/>
      <c r="F13" s="31"/>
      <c r="G13" s="1"/>
      <c r="H13" s="9" t="s">
        <v>12</v>
      </c>
      <c r="I13" s="36" t="s">
        <v>14</v>
      </c>
      <c r="J13" s="11">
        <v>5.1452</v>
      </c>
      <c r="L13" s="48">
        <v>45376</v>
      </c>
      <c r="M13" s="10">
        <v>4</v>
      </c>
      <c r="N13" s="10">
        <v>5.5556882722346996</v>
      </c>
      <c r="O13" s="11">
        <v>0.99939134275660002</v>
      </c>
      <c r="AB13" s="54"/>
    </row>
    <row r="14" spans="2:35" x14ac:dyDescent="0.3">
      <c r="B14" s="8" t="s">
        <v>15</v>
      </c>
      <c r="C14" s="24"/>
      <c r="D14" s="10"/>
      <c r="E14" s="8" t="s">
        <v>16</v>
      </c>
      <c r="F14" s="35"/>
      <c r="H14" s="9" t="s">
        <v>12</v>
      </c>
      <c r="I14" s="36" t="s">
        <v>17</v>
      </c>
      <c r="J14" s="11">
        <v>5.0869099999999996</v>
      </c>
      <c r="L14" s="48">
        <v>45470</v>
      </c>
      <c r="M14" s="10">
        <v>98</v>
      </c>
      <c r="N14" s="10">
        <v>5.2699690092746003</v>
      </c>
      <c r="O14" s="11">
        <v>0.98595012794799997</v>
      </c>
      <c r="AB14" s="54"/>
    </row>
    <row r="15" spans="2:35" x14ac:dyDescent="0.3">
      <c r="B15" s="9" t="s">
        <v>18</v>
      </c>
      <c r="C15" s="11" t="s">
        <v>0</v>
      </c>
      <c r="D15" s="10"/>
      <c r="E15" s="9" t="s">
        <v>18</v>
      </c>
      <c r="F15" s="31" t="s">
        <v>0</v>
      </c>
      <c r="H15" s="9" t="s">
        <v>12</v>
      </c>
      <c r="I15" s="36" t="s">
        <v>19</v>
      </c>
      <c r="J15" s="11">
        <v>5</v>
      </c>
      <c r="L15" s="48">
        <v>45562</v>
      </c>
      <c r="M15" s="10">
        <v>190</v>
      </c>
      <c r="N15" s="10">
        <v>5.1557409615432999</v>
      </c>
      <c r="O15" s="11">
        <v>0.97351883792759997</v>
      </c>
      <c r="AB15" s="54"/>
    </row>
    <row r="16" spans="2:35" x14ac:dyDescent="0.3">
      <c r="B16" s="9" t="s">
        <v>20</v>
      </c>
      <c r="C16" s="11" t="s">
        <v>21</v>
      </c>
      <c r="D16" s="10"/>
      <c r="E16" s="9" t="s">
        <v>20</v>
      </c>
      <c r="F16" s="32" t="s">
        <v>22</v>
      </c>
      <c r="G16" s="2"/>
      <c r="H16" s="9" t="s">
        <v>12</v>
      </c>
      <c r="I16" s="36" t="s">
        <v>23</v>
      </c>
      <c r="J16" s="11">
        <v>4.7140199999999997</v>
      </c>
      <c r="L16" s="48">
        <v>45656</v>
      </c>
      <c r="M16" s="10">
        <v>284</v>
      </c>
      <c r="N16" s="10">
        <v>5.0618610289030999</v>
      </c>
      <c r="O16" s="11">
        <v>0.96138008411660003</v>
      </c>
      <c r="AB16" s="54"/>
    </row>
    <row r="17" spans="2:29" x14ac:dyDescent="0.3">
      <c r="B17" s="9" t="s">
        <v>24</v>
      </c>
      <c r="C17" s="76">
        <v>4.0129999999999999E-2</v>
      </c>
      <c r="D17" s="10"/>
      <c r="E17" s="9" t="s">
        <v>24</v>
      </c>
      <c r="F17" s="11" t="s">
        <v>25</v>
      </c>
      <c r="H17" s="9" t="s">
        <v>12</v>
      </c>
      <c r="I17" s="36" t="s">
        <v>26</v>
      </c>
      <c r="J17" s="11">
        <v>4.5216000000000003</v>
      </c>
      <c r="L17" s="48">
        <v>45743</v>
      </c>
      <c r="M17" s="10">
        <v>371</v>
      </c>
      <c r="N17" s="10">
        <v>4.9486808398504998</v>
      </c>
      <c r="O17" s="11">
        <v>0.95094382252910004</v>
      </c>
      <c r="AB17" s="54"/>
    </row>
    <row r="18" spans="2:29" x14ac:dyDescent="0.3">
      <c r="B18" s="9" t="s">
        <v>27</v>
      </c>
      <c r="C18" s="11" t="s">
        <v>25</v>
      </c>
      <c r="D18" s="10"/>
      <c r="E18" s="9" t="s">
        <v>27</v>
      </c>
      <c r="F18" s="11">
        <v>0</v>
      </c>
      <c r="H18" s="9" t="s">
        <v>12</v>
      </c>
      <c r="I18" s="36" t="s">
        <v>28</v>
      </c>
      <c r="J18" s="11">
        <v>4.2359</v>
      </c>
      <c r="L18" s="48">
        <v>45929</v>
      </c>
      <c r="M18" s="10">
        <v>557</v>
      </c>
      <c r="N18" s="10">
        <v>4.6794340820181004</v>
      </c>
      <c r="O18" s="11">
        <v>0.9310805867295</v>
      </c>
      <c r="AB18" s="54"/>
    </row>
    <row r="19" spans="2:29" x14ac:dyDescent="0.3">
      <c r="B19" s="9" t="s">
        <v>88</v>
      </c>
      <c r="C19" s="11" t="s">
        <v>90</v>
      </c>
      <c r="D19" s="10"/>
      <c r="E19" s="9" t="s">
        <v>88</v>
      </c>
      <c r="F19" s="11" t="s">
        <v>89</v>
      </c>
      <c r="H19" s="9" t="s">
        <v>12</v>
      </c>
      <c r="I19" s="36" t="s">
        <v>31</v>
      </c>
      <c r="J19" s="11">
        <v>4.1021999999999998</v>
      </c>
      <c r="L19" s="48">
        <v>46108</v>
      </c>
      <c r="M19" s="10">
        <v>736</v>
      </c>
      <c r="N19" s="10">
        <v>4.4757480227583004</v>
      </c>
      <c r="O19" s="11">
        <v>0.91370209157259996</v>
      </c>
      <c r="AB19" s="54"/>
    </row>
    <row r="20" spans="2:29" x14ac:dyDescent="0.3">
      <c r="B20" s="9" t="s">
        <v>29</v>
      </c>
      <c r="C20" s="11" t="s">
        <v>30</v>
      </c>
      <c r="D20" s="10"/>
      <c r="E20" s="9" t="s">
        <v>29</v>
      </c>
      <c r="F20" s="11" t="s">
        <v>30</v>
      </c>
      <c r="H20" s="9" t="s">
        <v>12</v>
      </c>
      <c r="I20" s="36" t="s">
        <v>33</v>
      </c>
      <c r="J20" s="11">
        <v>4.0129999999999999</v>
      </c>
      <c r="L20" s="48">
        <v>46475</v>
      </c>
      <c r="M20" s="10">
        <v>1103</v>
      </c>
      <c r="N20" s="10">
        <v>4.1893784967557002</v>
      </c>
      <c r="O20" s="11">
        <v>0.88108641113060004</v>
      </c>
      <c r="AB20" s="54"/>
    </row>
    <row r="21" spans="2:29" x14ac:dyDescent="0.3">
      <c r="B21" s="9" t="s">
        <v>32</v>
      </c>
      <c r="C21" s="11"/>
      <c r="D21" s="10"/>
      <c r="E21" s="9" t="s">
        <v>32</v>
      </c>
      <c r="F21" s="11" t="s">
        <v>30</v>
      </c>
      <c r="H21" s="9" t="s">
        <v>12</v>
      </c>
      <c r="I21" s="36" t="s">
        <v>34</v>
      </c>
      <c r="J21" s="11">
        <v>3.9636</v>
      </c>
      <c r="L21" s="48">
        <v>46841</v>
      </c>
      <c r="M21" s="10">
        <v>1469</v>
      </c>
      <c r="N21" s="10">
        <v>4.0565904797185999</v>
      </c>
      <c r="O21" s="11">
        <v>0.84936703264610003</v>
      </c>
      <c r="AB21" s="54"/>
    </row>
    <row r="22" spans="2:29" x14ac:dyDescent="0.3">
      <c r="B22" s="9"/>
      <c r="C22" s="11"/>
      <c r="D22" s="10"/>
      <c r="E22" s="9"/>
      <c r="F22" s="11"/>
      <c r="H22" s="9" t="s">
        <v>12</v>
      </c>
      <c r="I22" s="36" t="s">
        <v>36</v>
      </c>
      <c r="J22" s="11">
        <v>3.9323999999999999</v>
      </c>
      <c r="L22" s="48">
        <v>47205</v>
      </c>
      <c r="M22" s="10">
        <v>1833</v>
      </c>
      <c r="N22" s="10">
        <v>3.9668193254649</v>
      </c>
      <c r="O22" s="11">
        <v>0.81937747315510001</v>
      </c>
      <c r="AB22" s="54"/>
      <c r="AC22" s="55"/>
    </row>
    <row r="23" spans="2:29" x14ac:dyDescent="0.3">
      <c r="B23" s="9" t="s">
        <v>35</v>
      </c>
      <c r="C23" s="34">
        <v>-17980612.829999998</v>
      </c>
      <c r="D23" s="10"/>
      <c r="E23" s="9" t="s">
        <v>35</v>
      </c>
      <c r="F23" s="33">
        <v>17980612.82</v>
      </c>
      <c r="H23" s="9" t="s">
        <v>12</v>
      </c>
      <c r="I23" s="36" t="s">
        <v>37</v>
      </c>
      <c r="J23" s="11">
        <v>3.9175</v>
      </c>
      <c r="L23" s="48">
        <v>47569</v>
      </c>
      <c r="M23" s="10">
        <v>2197</v>
      </c>
      <c r="N23" s="10">
        <v>3.9176375148156999</v>
      </c>
      <c r="O23" s="11">
        <v>0.78993107936929996</v>
      </c>
      <c r="AB23" s="54"/>
      <c r="AC23" s="55"/>
    </row>
    <row r="24" spans="2:29" ht="15" thickBot="1" x14ac:dyDescent="0.35">
      <c r="B24" s="9"/>
      <c r="C24" s="11"/>
      <c r="D24" s="10"/>
      <c r="E24" s="9"/>
      <c r="F24" s="11"/>
      <c r="H24" s="9" t="s">
        <v>12</v>
      </c>
      <c r="I24" s="36" t="s">
        <v>39</v>
      </c>
      <c r="J24" s="11">
        <v>3.9020999999999999</v>
      </c>
      <c r="L24" s="48">
        <v>47934</v>
      </c>
      <c r="M24" s="10">
        <v>2562</v>
      </c>
      <c r="N24" s="10">
        <v>3.8868557321913002</v>
      </c>
      <c r="O24" s="11">
        <v>0.76122574263580001</v>
      </c>
      <c r="AC24" s="54"/>
    </row>
    <row r="25" spans="2:29" ht="15" thickBot="1" x14ac:dyDescent="0.35">
      <c r="B25" s="39"/>
      <c r="C25" s="43" t="s">
        <v>38</v>
      </c>
      <c r="D25" s="42">
        <v>0.01</v>
      </c>
      <c r="E25" s="40"/>
      <c r="F25" s="41"/>
      <c r="H25" s="9" t="s">
        <v>12</v>
      </c>
      <c r="I25" s="36" t="s">
        <v>40</v>
      </c>
      <c r="J25" s="11">
        <v>3.8967999999999998</v>
      </c>
      <c r="L25" s="48">
        <v>48302</v>
      </c>
      <c r="M25" s="10">
        <v>2930</v>
      </c>
      <c r="N25" s="10">
        <v>3.8730307021403001</v>
      </c>
      <c r="O25" s="11">
        <v>0.73278454185630004</v>
      </c>
    </row>
    <row r="26" spans="2:29" x14ac:dyDescent="0.3">
      <c r="H26" s="9" t="s">
        <v>12</v>
      </c>
      <c r="I26" s="36" t="s">
        <v>41</v>
      </c>
      <c r="J26" s="11">
        <v>3.9003000000000001</v>
      </c>
      <c r="L26" s="48">
        <v>48667</v>
      </c>
      <c r="M26" s="10">
        <v>3295</v>
      </c>
      <c r="N26" s="10">
        <v>3.8580199032429001</v>
      </c>
      <c r="O26" s="11">
        <v>0.7059020552552</v>
      </c>
    </row>
    <row r="27" spans="2:29" x14ac:dyDescent="0.3">
      <c r="H27" s="9" t="s">
        <v>12</v>
      </c>
      <c r="I27" s="36" t="s">
        <v>42</v>
      </c>
      <c r="J27" s="11">
        <v>3.9094000000000002</v>
      </c>
      <c r="L27" s="48">
        <v>49032</v>
      </c>
      <c r="M27" s="10">
        <v>3660</v>
      </c>
      <c r="N27" s="10">
        <v>3.8541339507807999</v>
      </c>
      <c r="O27" s="11">
        <v>0.67945156914250004</v>
      </c>
    </row>
    <row r="28" spans="2:29" x14ac:dyDescent="0.3">
      <c r="H28" s="9" t="s">
        <v>12</v>
      </c>
      <c r="I28" s="36" t="s">
        <v>43</v>
      </c>
      <c r="J28" s="11">
        <v>3.8803999999999998</v>
      </c>
      <c r="L28" s="48">
        <v>49761</v>
      </c>
      <c r="M28" s="10">
        <v>4389</v>
      </c>
      <c r="N28" s="10">
        <v>3.8618232241096</v>
      </c>
      <c r="O28" s="11">
        <v>0.62853031559560002</v>
      </c>
    </row>
    <row r="29" spans="2:29" x14ac:dyDescent="0.3">
      <c r="H29" s="9" t="s">
        <v>12</v>
      </c>
      <c r="I29" s="36" t="s">
        <v>44</v>
      </c>
      <c r="J29" s="11">
        <v>3.7993000000000001</v>
      </c>
      <c r="L29" s="48">
        <v>50858</v>
      </c>
      <c r="M29" s="10">
        <v>5486</v>
      </c>
      <c r="N29" s="10">
        <v>3.8762293041882998</v>
      </c>
      <c r="O29" s="11">
        <v>0.55844308401520004</v>
      </c>
    </row>
    <row r="30" spans="2:29" ht="15" thickBot="1" x14ac:dyDescent="0.35">
      <c r="H30" s="25" t="s">
        <v>12</v>
      </c>
      <c r="I30" s="37" t="s">
        <v>45</v>
      </c>
      <c r="J30" s="27">
        <v>3.7010000000000001</v>
      </c>
      <c r="L30" s="48">
        <v>52685</v>
      </c>
      <c r="M30" s="10">
        <v>7313</v>
      </c>
      <c r="N30" s="10">
        <v>3.8389017598908</v>
      </c>
      <c r="O30" s="11">
        <v>0.46340789405229998</v>
      </c>
    </row>
    <row r="31" spans="2:29" x14ac:dyDescent="0.3">
      <c r="L31" s="48">
        <v>54511</v>
      </c>
      <c r="M31" s="10">
        <v>9139</v>
      </c>
      <c r="N31" s="10">
        <v>3.7229459038605999</v>
      </c>
      <c r="O31" s="11">
        <v>0.39370064008450001</v>
      </c>
    </row>
    <row r="32" spans="2:29" ht="15" thickBot="1" x14ac:dyDescent="0.35">
      <c r="L32" s="49">
        <v>56335</v>
      </c>
      <c r="M32" s="26">
        <v>10963</v>
      </c>
      <c r="N32" s="26">
        <v>3.5759800825299002</v>
      </c>
      <c r="O32" s="27">
        <v>0.3416161087215</v>
      </c>
    </row>
  </sheetData>
  <sheetProtection algorithmName="SHA-512" hashValue="L+n1KEF266yw2b8CH4thavcuMAI8A/KuPrcOgZzfaOnk+TnFdpe8Gl4txXxkP1lwHD1CrteQCg0tMQUoGOkUWQ==" saltValue="8DHwBTQqc5+iXR5tEET34g==" spinCount="100000" sheet="1" objects="1" scenarios="1"/>
  <mergeCells count="3">
    <mergeCell ref="B9:F9"/>
    <mergeCell ref="H9:J9"/>
    <mergeCell ref="L9:O9"/>
  </mergeCells>
  <dataValidations count="1">
    <dataValidation type="list" allowBlank="1" showInputMessage="1" showErrorMessage="1" sqref="C2" xr:uid="{00000000-0002-0000-0000-000000000000}">
      <formula1>CorrelationScenario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  <pageSetUpPr fitToPage="1"/>
  </sheetPr>
  <dimension ref="B2:R32"/>
  <sheetViews>
    <sheetView workbookViewId="0">
      <selection activeCell="E24" sqref="E24"/>
    </sheetView>
  </sheetViews>
  <sheetFormatPr defaultColWidth="8.77734375" defaultRowHeight="14.4" x14ac:dyDescent="0.3"/>
  <cols>
    <col min="1" max="1" width="2.77734375" customWidth="1"/>
    <col min="2" max="2" width="11.77734375" customWidth="1"/>
    <col min="3" max="3" width="11.33203125" bestFit="1" customWidth="1"/>
    <col min="4" max="4" width="10.109375" bestFit="1" customWidth="1"/>
    <col min="5" max="5" width="12.109375" bestFit="1" customWidth="1"/>
    <col min="6" max="6" width="12.109375" customWidth="1"/>
    <col min="7" max="7" width="10.109375" bestFit="1" customWidth="1"/>
    <col min="8" max="8" width="22.44140625" bestFit="1" customWidth="1"/>
    <col min="9" max="9" width="17.33203125" bestFit="1" customWidth="1"/>
    <col min="10" max="10" width="2.77734375" customWidth="1"/>
    <col min="11" max="11" width="15.77734375" customWidth="1"/>
    <col min="12" max="12" width="15" customWidth="1"/>
    <col min="13" max="16" width="17.33203125" bestFit="1" customWidth="1"/>
    <col min="17" max="17" width="16.33203125" bestFit="1" customWidth="1"/>
    <col min="18" max="18" width="12.33203125" customWidth="1"/>
    <col min="19" max="19" width="2.77734375" customWidth="1"/>
  </cols>
  <sheetData>
    <row r="2" spans="2:11" x14ac:dyDescent="0.3">
      <c r="B2" s="156" t="s">
        <v>46</v>
      </c>
      <c r="C2" s="157"/>
    </row>
    <row r="3" spans="2:11" x14ac:dyDescent="0.3">
      <c r="B3" s="56"/>
      <c r="C3" s="57"/>
    </row>
    <row r="4" spans="2:11" x14ac:dyDescent="0.3">
      <c r="B4" s="58" t="s">
        <v>47</v>
      </c>
      <c r="C4" s="59" t="s">
        <v>46</v>
      </c>
    </row>
    <row r="5" spans="2:11" x14ac:dyDescent="0.3">
      <c r="B5" s="53" t="s">
        <v>48</v>
      </c>
      <c r="C5" s="138">
        <v>-109.5</v>
      </c>
      <c r="E5" s="61"/>
    </row>
    <row r="6" spans="2:11" x14ac:dyDescent="0.3">
      <c r="B6" s="53" t="s">
        <v>49</v>
      </c>
      <c r="C6" s="138">
        <v>-1.81</v>
      </c>
    </row>
    <row r="7" spans="2:11" x14ac:dyDescent="0.3">
      <c r="B7" s="53" t="s">
        <v>50</v>
      </c>
      <c r="C7" s="138">
        <v>387.24</v>
      </c>
    </row>
    <row r="8" spans="2:11" x14ac:dyDescent="0.3">
      <c r="B8" s="53" t="s">
        <v>51</v>
      </c>
      <c r="C8" s="138">
        <v>652.5</v>
      </c>
    </row>
    <row r="9" spans="2:11" x14ac:dyDescent="0.3">
      <c r="B9" s="53" t="s">
        <v>52</v>
      </c>
      <c r="C9" s="138">
        <v>1648.89</v>
      </c>
    </row>
    <row r="10" spans="2:11" x14ac:dyDescent="0.3">
      <c r="B10" s="53" t="s">
        <v>53</v>
      </c>
      <c r="C10" s="138">
        <v>43664.52</v>
      </c>
    </row>
    <row r="11" spans="2:11" x14ac:dyDescent="0.3">
      <c r="B11" s="53" t="s">
        <v>54</v>
      </c>
      <c r="C11" s="138">
        <v>24.75</v>
      </c>
    </row>
    <row r="12" spans="2:11" x14ac:dyDescent="0.3">
      <c r="B12" s="53" t="s">
        <v>55</v>
      </c>
      <c r="C12" s="138">
        <v>-0.45</v>
      </c>
    </row>
    <row r="13" spans="2:11" x14ac:dyDescent="0.3">
      <c r="B13" s="53" t="s">
        <v>56</v>
      </c>
      <c r="C13" s="139"/>
    </row>
    <row r="14" spans="2:11" x14ac:dyDescent="0.3">
      <c r="B14" s="60" t="s">
        <v>57</v>
      </c>
      <c r="C14" s="140"/>
    </row>
    <row r="15" spans="2:11" ht="15" thickBot="1" x14ac:dyDescent="0.35">
      <c r="C15" s="3"/>
    </row>
    <row r="16" spans="2:11" x14ac:dyDescent="0.3">
      <c r="B16" s="8" t="s">
        <v>58</v>
      </c>
      <c r="C16" s="35">
        <f ca="1">IF('Consolidated View'!$C$2="Lite",SQRT(ABS(C17)),SQRT(IF(C17&gt;0,C17,C18)))</f>
        <v>4964393.6329919295</v>
      </c>
      <c r="D16" s="2"/>
      <c r="E16" s="2"/>
      <c r="F16" s="5"/>
      <c r="G16" s="6"/>
      <c r="H16" s="2"/>
      <c r="K16" s="1"/>
    </row>
    <row r="17" spans="2:18" x14ac:dyDescent="0.3">
      <c r="B17" s="9" t="s">
        <v>59</v>
      </c>
      <c r="C17" s="92">
        <f ca="1">SUMSQ($E$21:$E$21)+MAX(-1,MIN(1,'BIS Data'!$H$6*'BIS Data'!$H$5))*SUM($F$21:$F$21)</f>
        <v>24645204143290.809</v>
      </c>
      <c r="D17" s="1"/>
      <c r="E17" s="1"/>
      <c r="G17" s="7"/>
      <c r="H17" s="1"/>
      <c r="I17" s="1"/>
      <c r="J17" s="1"/>
      <c r="K17" s="1"/>
    </row>
    <row r="18" spans="2:18" ht="15" thickBot="1" x14ac:dyDescent="0.35">
      <c r="B18" s="25" t="s">
        <v>60</v>
      </c>
      <c r="C18" s="93">
        <f ca="1">SUMSQ($E$21:$E$21)+MAX(-1,MIN(1,'BIS Data'!$H$6*'BIS Data'!$H$5))*SUM($G$21:$G$21)</f>
        <v>24645204143290.809</v>
      </c>
      <c r="I18" s="1"/>
      <c r="J18" s="1"/>
      <c r="K18" s="1"/>
      <c r="L18" s="1"/>
      <c r="M18" s="1"/>
    </row>
    <row r="19" spans="2:18" ht="15" thickBot="1" x14ac:dyDescent="0.35">
      <c r="I19" s="1"/>
      <c r="J19" s="1"/>
      <c r="K19" s="158" t="s">
        <v>63</v>
      </c>
      <c r="L19" s="159"/>
      <c r="M19" s="159"/>
      <c r="N19" s="159"/>
      <c r="O19" s="159"/>
      <c r="P19" s="159"/>
      <c r="Q19" s="159"/>
      <c r="R19" s="160"/>
    </row>
    <row r="20" spans="2:18" x14ac:dyDescent="0.3">
      <c r="B20" s="80" t="s">
        <v>18</v>
      </c>
      <c r="C20" s="81" t="s">
        <v>112</v>
      </c>
      <c r="D20" s="81" t="s">
        <v>113</v>
      </c>
      <c r="E20" s="81" t="s">
        <v>114</v>
      </c>
      <c r="F20" s="81" t="s">
        <v>61</v>
      </c>
      <c r="G20" s="82" t="s">
        <v>62</v>
      </c>
      <c r="I20" s="1"/>
      <c r="K20" s="127" t="str">
        <f t="shared" ref="K20:R20" ca="1" si="0">OFFSET($B$24,COLUMN()-COLUMN($K20),0)</f>
        <v>USD</v>
      </c>
      <c r="L20" s="128" t="str">
        <f t="shared" ca="1" si="0"/>
        <v>USD</v>
      </c>
      <c r="M20" s="128" t="str">
        <f t="shared" ca="1" si="0"/>
        <v>USD</v>
      </c>
      <c r="N20" s="128" t="str">
        <f t="shared" ca="1" si="0"/>
        <v>USD</v>
      </c>
      <c r="O20" s="128" t="str">
        <f t="shared" ca="1" si="0"/>
        <v>USD</v>
      </c>
      <c r="P20" s="128" t="str">
        <f t="shared" ca="1" si="0"/>
        <v>USD</v>
      </c>
      <c r="Q20" s="128" t="str">
        <f t="shared" ca="1" si="0"/>
        <v>USD</v>
      </c>
      <c r="R20" s="129" t="str">
        <f t="shared" ca="1" si="0"/>
        <v>USD</v>
      </c>
    </row>
    <row r="21" spans="2:18" ht="15" thickBot="1" x14ac:dyDescent="0.35">
      <c r="B21" s="83" t="s">
        <v>0</v>
      </c>
      <c r="C21" s="62">
        <f>SUMIF($B$24:$B$158,"="&amp;B21,$G$24:$G$158)</f>
        <v>4965067.3397711031</v>
      </c>
      <c r="D21" s="62">
        <f ca="1">MAX(MIN(C21,E21),-E21)</f>
        <v>4964393.6329919295</v>
      </c>
      <c r="E21" s="62">
        <f ca="1">SQRT(MAX(SUMIF($B$24:$B$158,"="&amp;B21,$H$24:$H$158)+SUMIF($B$24:$B$158,"="&amp;B21,$I$24:$I$158),0))</f>
        <v>4964393.6329919295</v>
      </c>
      <c r="F21" s="62">
        <f>C21*SUMIF($B$21:$B$21,"&lt;&gt;"&amp;B21,$C$21:$C$21)</f>
        <v>0</v>
      </c>
      <c r="G21" s="63">
        <f>C21*SUMIF($B$21:$B$21,"&lt;&gt;"&amp;B21,$D$21:$D$21)</f>
        <v>0</v>
      </c>
      <c r="H21" s="28"/>
      <c r="I21" s="1"/>
      <c r="K21" s="130" t="str">
        <f t="shared" ref="K21:R21" ca="1" si="1">OFFSET($B$24,COLUMN()-COLUMN($K$21),1)</f>
        <v>SOFR</v>
      </c>
      <c r="L21" s="131" t="str">
        <f t="shared" ca="1" si="1"/>
        <v>SOFR</v>
      </c>
      <c r="M21" s="131" t="str">
        <f t="shared" ca="1" si="1"/>
        <v>SOFR</v>
      </c>
      <c r="N21" s="131" t="str">
        <f t="shared" ca="1" si="1"/>
        <v>SOFR</v>
      </c>
      <c r="O21" s="131" t="str">
        <f t="shared" ca="1" si="1"/>
        <v>SOFR</v>
      </c>
      <c r="P21" s="131" t="str">
        <f t="shared" ca="1" si="1"/>
        <v>SOFR</v>
      </c>
      <c r="Q21" s="131" t="str">
        <f t="shared" ca="1" si="1"/>
        <v>SOFR</v>
      </c>
      <c r="R21" s="132" t="str">
        <f t="shared" ca="1" si="1"/>
        <v>SOFR</v>
      </c>
    </row>
    <row r="22" spans="2:18" ht="15" thickBot="1" x14ac:dyDescent="0.35">
      <c r="K22" s="133">
        <f t="shared" ref="K22:R22" ca="1" si="2">OFFSET($B$24,COLUMN()-COLUMN($K$22),2)</f>
        <v>0.25</v>
      </c>
      <c r="L22" s="134">
        <f t="shared" ca="1" si="2"/>
        <v>0.5</v>
      </c>
      <c r="M22" s="134">
        <f t="shared" ca="1" si="2"/>
        <v>1</v>
      </c>
      <c r="N22" s="134">
        <f t="shared" ca="1" si="2"/>
        <v>2</v>
      </c>
      <c r="O22" s="134">
        <f t="shared" ca="1" si="2"/>
        <v>3</v>
      </c>
      <c r="P22" s="134">
        <f t="shared" ca="1" si="2"/>
        <v>5</v>
      </c>
      <c r="Q22" s="134">
        <f t="shared" ca="1" si="2"/>
        <v>10</v>
      </c>
      <c r="R22" s="135">
        <f t="shared" ca="1" si="2"/>
        <v>15</v>
      </c>
    </row>
    <row r="23" spans="2:18" ht="15" thickBot="1" x14ac:dyDescent="0.35">
      <c r="B23" s="99" t="s">
        <v>18</v>
      </c>
      <c r="C23" s="100" t="s">
        <v>20</v>
      </c>
      <c r="D23" s="101" t="s">
        <v>64</v>
      </c>
      <c r="E23" s="90" t="s">
        <v>65</v>
      </c>
      <c r="F23" s="90" t="s">
        <v>109</v>
      </c>
      <c r="G23" s="90" t="s">
        <v>110</v>
      </c>
      <c r="H23" s="90" t="s">
        <v>111</v>
      </c>
      <c r="I23" s="91" t="s">
        <v>84</v>
      </c>
      <c r="J23" s="77"/>
      <c r="K23" s="94">
        <f t="shared" ref="K23:R23" ca="1" si="3">OFFSET($B$24,COLUMN()-COLUMN($K$23),5)</f>
        <v>-18582.766209582467</v>
      </c>
      <c r="L23" s="95">
        <f t="shared" ca="1" si="3"/>
        <v>-307.16718574743624</v>
      </c>
      <c r="M23" s="95">
        <f t="shared" ca="1" si="3"/>
        <v>61609.506738002696</v>
      </c>
      <c r="N23" s="95">
        <f t="shared" ca="1" si="3"/>
        <v>86740.788848153781</v>
      </c>
      <c r="O23" s="95">
        <f t="shared" ca="1" si="3"/>
        <v>201707.84497450871</v>
      </c>
      <c r="P23" s="95">
        <f t="shared" ca="1" si="3"/>
        <v>4631321.728388343</v>
      </c>
      <c r="Q23" s="95">
        <f t="shared" ca="1" si="3"/>
        <v>2625.1339251550576</v>
      </c>
      <c r="R23" s="96">
        <f t="shared" ca="1" si="3"/>
        <v>-47.729707730091953</v>
      </c>
    </row>
    <row r="24" spans="2:18" x14ac:dyDescent="0.3">
      <c r="B24" s="115" t="str">
        <f>'Pivot Data'!B4</f>
        <v>USD</v>
      </c>
      <c r="C24" s="116" t="str">
        <f>'Pivot Data'!C4</f>
        <v>SOFR</v>
      </c>
      <c r="D24" s="119">
        <f>'Pivot Data'!D4</f>
        <v>0.25</v>
      </c>
      <c r="E24" s="78">
        <f>'Pivot Data'!E4</f>
        <v>-1095000</v>
      </c>
      <c r="F24" s="22">
        <f>IF(ISNUMBER(MATCH(B24,'BIS Data'!$L$3:$L$10,0)),1/'BIS Data'!$H$8,1)*VLOOKUP(D24,'BIS Data'!$B$3:$C$14,2,0)</f>
        <v>1.6970562748477139E-2</v>
      </c>
      <c r="G24" s="78">
        <f>F24*E24</f>
        <v>-18582.766209582467</v>
      </c>
      <c r="H24" s="17">
        <f>G24*G24</f>
        <v>345319199.99999994</v>
      </c>
      <c r="I24" s="136">
        <f t="shared" ref="I24:I31" ca="1" si="4">SUM(K26:VI26)</f>
        <v>269014433300.13278</v>
      </c>
      <c r="J24" s="17"/>
      <c r="K24" s="121">
        <f ca="1">K$23*$G24*MAX(-1,MIN(1,'BIS Data'!$H$5*IF(OR($C24&amp;$D24=K$21&amp;K$22,$B24&lt;&gt;K$20),0,OFFSET('BIS Data'!$B$17,MATCH($D24,'BIS Data'!$B$18:$B$27,0),MATCH(K$22,'BIS Data'!$C$17:$L$17,0)))))</f>
        <v>0</v>
      </c>
      <c r="L24" s="122">
        <f ca="1">L$23*$G24*MAX(-1,MIN(1,'BIS Data'!$H$5*IF(OR($C24&amp;$D24=L$21&amp;L$22,$B24&lt;&gt;L$20),0,OFFSET('BIS Data'!$B$17,MATCH($D24,'BIS Data'!$B$18:$B$27,0),MATCH(L$22,'BIS Data'!$C$17:$L$17,0)))))</f>
        <v>5539318.6326234201</v>
      </c>
      <c r="M24" s="122">
        <f ca="1">M$23*$G24*MAX(-1,MIN(1,'BIS Data'!$H$5*IF(OR($C24&amp;$D24=M$21&amp;M$22,$B24&lt;&gt;M$20),0,OFFSET('BIS Data'!$B$17,MATCH($D24,'BIS Data'!$B$18:$B$27,0),MATCH(M$22,'BIS Data'!$C$17:$L$17,0)))))</f>
        <v>-1046337020.5732683</v>
      </c>
      <c r="N24" s="122">
        <f ca="1">N$23*$G24*MAX(-1,MIN(1,'BIS Data'!$H$5*IF(OR($C24&amp;$D24=N$21&amp;N$22,$B24&lt;&gt;N$20),0,OFFSET('BIS Data'!$B$17,MATCH($D24,'BIS Data'!$B$18:$B$27,0),MATCH(N$22,'BIS Data'!$C$17:$L$17,0)))))</f>
        <v>-1306567614.6145597</v>
      </c>
      <c r="O24" s="122">
        <f ca="1">O$23*$G24*MAX(-1,MIN(1,'BIS Data'!$H$5*IF(OR($C24&amp;$D24=O$21&amp;O$22,$B24&lt;&gt;O$20),0,OFFSET('BIS Data'!$B$17,MATCH($D24,'BIS Data'!$B$18:$B$27,0),MATCH(O$22,'BIS Data'!$C$17:$L$17,0)))))</f>
        <v>-2694734443.6566663</v>
      </c>
      <c r="P24" s="122">
        <f ca="1">P$23*$G24*MAX(-1,MIN(1,'BIS Data'!$H$5*IF(OR($C24&amp;$D24=P$21&amp;P$22,$B24&lt;&gt;P$20),0,OFFSET('BIS Data'!$B$17,MATCH($D24,'BIS Data'!$B$18:$B$27,0),MATCH(P$22,'BIS Data'!$C$17:$L$17,0)))))</f>
        <v>-48670685149.179871</v>
      </c>
      <c r="Q24" s="122">
        <f ca="1">Q$23*$G24*MAX(-1,MIN(1,'BIS Data'!$H$5*IF(OR($C24&amp;$D24=Q$21&amp;Q$22,$B24&lt;&gt;Q$20),0,OFFSET('BIS Data'!$B$17,MATCH($D24,'BIS Data'!$B$18:$B$27,0),MATCH(Q$22,'BIS Data'!$C$17:$L$17,0)))))</f>
        <v>-19512899.999999996</v>
      </c>
      <c r="R24" s="123">
        <f ca="1">R$23*$G24*MAX(-1,MIN(1,'BIS Data'!$H$5*IF(OR($C24&amp;$D24=R$21&amp;R$22,$B24&lt;&gt;R$20),0,OFFSET('BIS Data'!$B$17,MATCH($D24,'BIS Data'!$B$18:$B$27,0),MATCH(R$22,'BIS Data'!$C$17:$L$17,0)))))</f>
        <v>354779.99999999994</v>
      </c>
    </row>
    <row r="25" spans="2:18" x14ac:dyDescent="0.3">
      <c r="B25" s="115" t="str">
        <f>'Pivot Data'!B5</f>
        <v>USD</v>
      </c>
      <c r="C25" s="116" t="str">
        <f>'Pivot Data'!C5</f>
        <v>SOFR</v>
      </c>
      <c r="D25" s="119">
        <f>'Pivot Data'!D5</f>
        <v>0.5</v>
      </c>
      <c r="E25" s="78">
        <f>'Pivot Data'!E5</f>
        <v>-18100</v>
      </c>
      <c r="F25" s="22">
        <f>IF(ISNUMBER(MATCH(B25,'BIS Data'!$L$3:$L$10,0)),1/'BIS Data'!$H$8,1)*VLOOKUP(D25,'BIS Data'!$B$3:$C$14,2,0)</f>
        <v>1.6970562748477139E-2</v>
      </c>
      <c r="G25" s="78">
        <f t="shared" ref="G25:G31" si="5">F25*E25</f>
        <v>-307.16718574743624</v>
      </c>
      <c r="H25" s="17">
        <f t="shared" ref="H25:H31" si="6">G25*G25</f>
        <v>94351.679999999993</v>
      </c>
      <c r="I25" s="136">
        <f t="shared" ca="1" si="4"/>
        <v>405337170940.52448</v>
      </c>
      <c r="J25" s="17"/>
      <c r="K25" s="121">
        <f ca="1">K$23*$G25*MAX(-1,MIN(1,'BIS Data'!$H$5*IF(OR($C25&amp;$D25=K$21&amp;K$22,$B25&lt;&gt;K$20),0,OFFSET('BIS Data'!$B$17,MATCH($D25,'BIS Data'!$B$18:$B$27,0),MATCH(K$22,'BIS Data'!$C$17:$L$17,0)))))</f>
        <v>5539318.6326234201</v>
      </c>
      <c r="L25" s="122">
        <f ca="1">L$23*$G25*MAX(-1,MIN(1,'BIS Data'!$H$5*IF(OR($C25&amp;$D25=L$21&amp;L$22,$B25&lt;&gt;L$20),0,OFFSET('BIS Data'!$B$17,MATCH($D25,'BIS Data'!$B$18:$B$27,0),MATCH(L$22,'BIS Data'!$C$17:$L$17,0)))))</f>
        <v>0</v>
      </c>
      <c r="M25" s="122">
        <f ca="1">M$23*$G25*MAX(-1,MIN(1,'BIS Data'!$H$5*IF(OR($C25&amp;$D25=M$21&amp;M$22,$B25&lt;&gt;M$20),0,OFFSET('BIS Data'!$B$17,MATCH($D25,'BIS Data'!$B$18:$B$27,0),MATCH(M$22,'BIS Data'!$C$17:$L$17,0)))))</f>
        <v>-18365117.699461415</v>
      </c>
      <c r="N25" s="122">
        <f ca="1">N$23*$G25*MAX(-1,MIN(1,'BIS Data'!$H$5*IF(OR($C25&amp;$D25=N$21&amp;N$22,$B25&lt;&gt;N$20),0,OFFSET('BIS Data'!$B$17,MATCH($D25,'BIS Data'!$B$18:$B$27,0),MATCH(N$22,'BIS Data'!$C$17:$L$17,0)))))</f>
        <v>-24350713.041596521</v>
      </c>
      <c r="O25" s="122">
        <f ca="1">O$23*$G25*MAX(-1,MIN(1,'BIS Data'!$H$5*IF(OR($C25&amp;$D25=O$21&amp;O$22,$B25&lt;&gt;O$20),0,OFFSET('BIS Data'!$B$17,MATCH($D25,'BIS Data'!$B$18:$B$27,0),MATCH(O$22,'BIS Data'!$C$17:$L$17,0)))))</f>
        <v>-53327771.557590462</v>
      </c>
      <c r="P25" s="122">
        <f ca="1">P$23*$G25*MAX(-1,MIN(1,'BIS Data'!$H$5*IF(OR($C25&amp;$D25=P$21&amp;P$22,$B25&lt;&gt;P$20),0,OFFSET('BIS Data'!$B$17,MATCH($D25,'BIS Data'!$B$18:$B$27,0),MATCH(P$22,'BIS Data'!$C$17:$L$17,0)))))</f>
        <v>-1085976081.8728404</v>
      </c>
      <c r="Q25" s="122">
        <f ca="1">Q$23*$G25*MAX(-1,MIN(1,'BIS Data'!$H$5*IF(OR($C25&amp;$D25=Q$21&amp;Q$22,$B25&lt;&gt;Q$20),0,OFFSET('BIS Data'!$B$17,MATCH($D25,'BIS Data'!$B$18:$B$27,0),MATCH(Q$22,'BIS Data'!$C$17:$L$17,0)))))</f>
        <v>-456014.26512256515</v>
      </c>
      <c r="R25" s="123">
        <f ca="1">R$23*$G25*MAX(-1,MIN(1,'BIS Data'!$H$5*IF(OR($C25&amp;$D25=R$21&amp;R$22,$B25&lt;&gt;R$20),0,OFFSET('BIS Data'!$B$17,MATCH($D25,'BIS Data'!$B$18:$B$27,0),MATCH(R$22,'BIS Data'!$C$17:$L$17,0)))))</f>
        <v>6142.2486635196346</v>
      </c>
    </row>
    <row r="26" spans="2:18" x14ac:dyDescent="0.3">
      <c r="B26" s="115" t="str">
        <f>'Pivot Data'!B6</f>
        <v>USD</v>
      </c>
      <c r="C26" s="116" t="str">
        <f>'Pivot Data'!C6</f>
        <v>SOFR</v>
      </c>
      <c r="D26" s="119">
        <f>'Pivot Data'!D6</f>
        <v>1</v>
      </c>
      <c r="E26" s="78">
        <f>'Pivot Data'!E6</f>
        <v>3872400</v>
      </c>
      <c r="F26" s="22">
        <f>IF(ISNUMBER(MATCH(B26,'BIS Data'!$L$3:$L$10,0)),1/'BIS Data'!$H$8,1)*VLOOKUP(D26,'BIS Data'!$B$3:$C$14,2,0)</f>
        <v>1.5909902576697318E-2</v>
      </c>
      <c r="G26" s="78">
        <f t="shared" si="5"/>
        <v>61609.506738002696</v>
      </c>
      <c r="H26" s="17">
        <f t="shared" si="6"/>
        <v>3795731320.4999995</v>
      </c>
      <c r="I26" s="136">
        <f t="shared" ca="1" si="4"/>
        <v>942352386394.13989</v>
      </c>
      <c r="J26" s="17"/>
      <c r="K26" s="121">
        <f ca="1">K$23*$G26*MAX(-1,MIN(1,'BIS Data'!$H$5*IF(OR($C26&amp;$D26=K$21&amp;K$22,$B26&lt;&gt;K$20),0,OFFSET('BIS Data'!$B$17,MATCH($D26,'BIS Data'!$B$18:$B$27,0),MATCH(K$22,'BIS Data'!$C$17:$L$17,0)))))</f>
        <v>-1046337020.5732683</v>
      </c>
      <c r="L26" s="122">
        <f ca="1">L$23*$G26*MAX(-1,MIN(1,'BIS Data'!$H$5*IF(OR($C26&amp;$D26=L$21&amp;L$22,$B26&lt;&gt;L$20),0,OFFSET('BIS Data'!$B$17,MATCH($D26,'BIS Data'!$B$18:$B$27,0),MATCH(L$22,'BIS Data'!$C$17:$L$17,0)))))</f>
        <v>-18365117.699461415</v>
      </c>
      <c r="M26" s="122">
        <f ca="1">M$23*$G26*MAX(-1,MIN(1,'BIS Data'!$H$5*IF(OR($C26&amp;$D26=M$21&amp;M$22,$B26&lt;&gt;M$20),0,OFFSET('BIS Data'!$B$17,MATCH($D26,'BIS Data'!$B$18:$B$27,0),MATCH(M$22,'BIS Data'!$C$17:$L$17,0)))))</f>
        <v>0</v>
      </c>
      <c r="N26" s="122">
        <f ca="1">N$23*$G26*MAX(-1,MIN(1,'BIS Data'!$H$5*IF(OR($C26&amp;$D26=N$21&amp;N$22,$B26&lt;&gt;N$20),0,OFFSET('BIS Data'!$B$17,MATCH($D26,'BIS Data'!$B$18:$B$27,0),MATCH(N$22,'BIS Data'!$C$17:$L$17,0)))))</f>
        <v>5186116455.3244286</v>
      </c>
      <c r="O26" s="122">
        <f ca="1">O$23*$G26*MAX(-1,MIN(1,'BIS Data'!$H$5*IF(OR($C26&amp;$D26=O$21&amp;O$22,$B26&lt;&gt;O$20),0,OFFSET('BIS Data'!$B$17,MATCH($D26,'BIS Data'!$B$18:$B$27,0),MATCH(O$22,'BIS Data'!$C$17:$L$17,0)))))</f>
        <v>11703421656.088324</v>
      </c>
      <c r="P26" s="122">
        <f ca="1">P$23*$G26*MAX(-1,MIN(1,'BIS Data'!$H$5*IF(OR($C26&amp;$D26=P$21&amp;P$22,$B26&lt;&gt;P$20),0,OFFSET('BIS Data'!$B$17,MATCH($D26,'BIS Data'!$B$18:$B$27,0),MATCH(P$22,'BIS Data'!$C$17:$L$17,0)))))</f>
        <v>253068065628.13046</v>
      </c>
      <c r="Q26" s="122">
        <f ca="1">Q$23*$G26*MAX(-1,MIN(1,'BIS Data'!$H$5*IF(OR($C26&amp;$D26=Q$21&amp;Q$22,$B26&lt;&gt;Q$20),0,OFFSET('BIS Data'!$B$17,MATCH($D26,'BIS Data'!$B$18:$B$27,0),MATCH(Q$22,'BIS Data'!$C$17:$L$17,0)))))</f>
        <v>123463813.20460296</v>
      </c>
      <c r="R26" s="123">
        <f ca="1">R$23*$G26*MAX(-1,MIN(1,'BIS Data'!$H$5*IF(OR($C26&amp;$D26=R$21&amp;R$22,$B26&lt;&gt;R$20),0,OFFSET('BIS Data'!$B$17,MATCH($D26,'BIS Data'!$B$18:$B$27,0),MATCH(R$22,'BIS Data'!$C$17:$L$17,0)))))</f>
        <v>-1932114.3422737299</v>
      </c>
    </row>
    <row r="27" spans="2:18" x14ac:dyDescent="0.3">
      <c r="B27" s="115" t="str">
        <f>'Pivot Data'!B7</f>
        <v>USD</v>
      </c>
      <c r="C27" s="116" t="str">
        <f>'Pivot Data'!C7</f>
        <v>SOFR</v>
      </c>
      <c r="D27" s="119">
        <f>'Pivot Data'!D7</f>
        <v>2</v>
      </c>
      <c r="E27" s="78">
        <f>'Pivot Data'!E7</f>
        <v>6525000</v>
      </c>
      <c r="F27" s="22">
        <f>IF(ISNUMBER(MATCH(B27,'BIS Data'!$L$3:$L$10,0)),1/'BIS Data'!$H$8,1)*VLOOKUP(D27,'BIS Data'!$B$3:$C$14,2,0)</f>
        <v>1.3293607486307093E-2</v>
      </c>
      <c r="G27" s="78">
        <f t="shared" si="5"/>
        <v>86740.788848153781</v>
      </c>
      <c r="H27" s="17">
        <f t="shared" si="6"/>
        <v>7523964449.999999</v>
      </c>
      <c r="I27" s="136">
        <f t="shared" ca="1" si="4"/>
        <v>1514625399779.1172</v>
      </c>
      <c r="J27" s="17"/>
      <c r="K27" s="121">
        <f ca="1">K$23*$G27*MAX(-1,MIN(1,'BIS Data'!$H$5*IF(OR($C27&amp;$D27=K$21&amp;K$22,$B27&lt;&gt;K$20),0,OFFSET('BIS Data'!$B$17,MATCH($D27,'BIS Data'!$B$18:$B$27,0),MATCH(K$22,'BIS Data'!$C$17:$L$17,0)))))</f>
        <v>-1306567614.6145597</v>
      </c>
      <c r="L27" s="122">
        <f ca="1">L$23*$G27*MAX(-1,MIN(1,'BIS Data'!$H$5*IF(OR($C27&amp;$D27=L$21&amp;L$22,$B27&lt;&gt;L$20),0,OFFSET('BIS Data'!$B$17,MATCH($D27,'BIS Data'!$B$18:$B$27,0),MATCH(L$22,'BIS Data'!$C$17:$L$17,0)))))</f>
        <v>-24350713.041596521</v>
      </c>
      <c r="M27" s="122">
        <f ca="1">M$23*$G27*MAX(-1,MIN(1,'BIS Data'!$H$5*IF(OR($C27&amp;$D27=M$21&amp;M$22,$B27&lt;&gt;M$20),0,OFFSET('BIS Data'!$B$17,MATCH($D27,'BIS Data'!$B$18:$B$27,0),MATCH(M$22,'BIS Data'!$C$17:$L$17,0)))))</f>
        <v>5186116455.3244286</v>
      </c>
      <c r="N27" s="122">
        <f ca="1">N$23*$G27*MAX(-1,MIN(1,'BIS Data'!$H$5*IF(OR($C27&amp;$D27=N$21&amp;N$22,$B27&lt;&gt;N$20),0,OFFSET('BIS Data'!$B$17,MATCH($D27,'BIS Data'!$B$18:$B$27,0),MATCH(N$22,'BIS Data'!$C$17:$L$17,0)))))</f>
        <v>0</v>
      </c>
      <c r="O27" s="122">
        <f ca="1">O$23*$G27*MAX(-1,MIN(1,'BIS Data'!$H$5*IF(OR($C27&amp;$D27=O$21&amp;O$22,$B27&lt;&gt;O$20),0,OFFSET('BIS Data'!$B$17,MATCH($D27,'BIS Data'!$B$18:$B$27,0),MATCH(O$22,'BIS Data'!$C$17:$L$17,0)))))</f>
        <v>17235811654.708031</v>
      </c>
      <c r="P27" s="122">
        <f ca="1">P$23*$G27*MAX(-1,MIN(1,'BIS Data'!$H$5*IF(OR($C27&amp;$D27=P$21&amp;P$22,$B27&lt;&gt;P$20),0,OFFSET('BIS Data'!$B$17,MATCH($D27,'BIS Data'!$B$18:$B$27,0),MATCH(P$22,'BIS Data'!$C$17:$L$17,0)))))</f>
        <v>384047610514.94073</v>
      </c>
      <c r="Q27" s="122">
        <f ca="1">Q$23*$G27*MAX(-1,MIN(1,'BIS Data'!$H$5*IF(OR($C27&amp;$D27=Q$21&amp;Q$22,$B27&lt;&gt;Q$20),0,OFFSET('BIS Data'!$B$17,MATCH($D27,'BIS Data'!$B$18:$B$27,0),MATCH(Q$22,'BIS Data'!$C$17:$L$17,0)))))</f>
        <v>201957271.26069891</v>
      </c>
      <c r="R27" s="123">
        <f ca="1">R$23*$G27*MAX(-1,MIN(1,'BIS Data'!$H$5*IF(OR($C27&amp;$D27=R$21&amp;R$22,$B27&lt;&gt;R$20),0,OFFSET('BIS Data'!$B$17,MATCH($D27,'BIS Data'!$B$18:$B$27,0),MATCH(R$22,'BIS Data'!$C$17:$L$17,0)))))</f>
        <v>-3406628.053250947</v>
      </c>
    </row>
    <row r="28" spans="2:18" x14ac:dyDescent="0.3">
      <c r="B28" s="115" t="str">
        <f>'Pivot Data'!B8</f>
        <v>USD</v>
      </c>
      <c r="C28" s="116" t="str">
        <f>'Pivot Data'!C8</f>
        <v>SOFR</v>
      </c>
      <c r="D28" s="119">
        <f>'Pivot Data'!D8</f>
        <v>3</v>
      </c>
      <c r="E28" s="78">
        <f>'Pivot Data'!E8</f>
        <v>16488900</v>
      </c>
      <c r="F28" s="22">
        <f>IF(ISNUMBER(MATCH(B28,'BIS Data'!$L$3:$L$10,0)),1/'BIS Data'!$H$8,1)*VLOOKUP(D28,'BIS Data'!$B$3:$C$14,2,0)</f>
        <v>1.2232947314527272E-2</v>
      </c>
      <c r="G28" s="78">
        <f t="shared" si="5"/>
        <v>201707.84497450871</v>
      </c>
      <c r="H28" s="17">
        <f t="shared" si="6"/>
        <v>40686054724.260437</v>
      </c>
      <c r="I28" s="136">
        <f t="shared" ca="1" si="4"/>
        <v>12597562009.300049</v>
      </c>
      <c r="J28" s="17"/>
      <c r="K28" s="121">
        <f ca="1">K$23*$G28*MAX(-1,MIN(1,'BIS Data'!$H$5*IF(OR($C28&amp;$D28=K$21&amp;K$22,$B28&lt;&gt;K$20),0,OFFSET('BIS Data'!$B$17,MATCH($D28,'BIS Data'!$B$18:$B$27,0),MATCH(K$22,'BIS Data'!$C$17:$L$17,0)))))</f>
        <v>-2694734443.6566663</v>
      </c>
      <c r="L28" s="122">
        <f ca="1">L$23*$G28*MAX(-1,MIN(1,'BIS Data'!$H$5*IF(OR($C28&amp;$D28=L$21&amp;L$22,$B28&lt;&gt;L$20),0,OFFSET('BIS Data'!$B$17,MATCH($D28,'BIS Data'!$B$18:$B$27,0),MATCH(L$22,'BIS Data'!$C$17:$L$17,0)))))</f>
        <v>-53327771.557590462</v>
      </c>
      <c r="M28" s="122">
        <f ca="1">M$23*$G28*MAX(-1,MIN(1,'BIS Data'!$H$5*IF(OR($C28&amp;$D28=M$21&amp;M$22,$B28&lt;&gt;M$20),0,OFFSET('BIS Data'!$B$17,MATCH($D28,'BIS Data'!$B$18:$B$27,0),MATCH(M$22,'BIS Data'!$C$17:$L$17,0)))))</f>
        <v>11703421656.088324</v>
      </c>
      <c r="N28" s="122">
        <f ca="1">N$23*$G28*MAX(-1,MIN(1,'BIS Data'!$H$5*IF(OR($C28&amp;$D28=N$21&amp;N$22,$B28&lt;&gt;N$20),0,OFFSET('BIS Data'!$B$17,MATCH($D28,'BIS Data'!$B$18:$B$27,0),MATCH(N$22,'BIS Data'!$C$17:$L$17,0)))))</f>
        <v>17235811654.708031</v>
      </c>
      <c r="O28" s="122">
        <f ca="1">O$23*$G28*MAX(-1,MIN(1,'BIS Data'!$H$5*IF(OR($C28&amp;$D28=O$21&amp;O$22,$B28&lt;&gt;O$20),0,OFFSET('BIS Data'!$B$17,MATCH($D28,'BIS Data'!$B$18:$B$27,0),MATCH(O$22,'BIS Data'!$C$17:$L$17,0)))))</f>
        <v>0</v>
      </c>
      <c r="P28" s="122">
        <f ca="1">P$23*$G28*MAX(-1,MIN(1,'BIS Data'!$H$5*IF(OR($C28&amp;$D28=P$21&amp;P$22,$B28&lt;&gt;P$20),0,OFFSET('BIS Data'!$B$17,MATCH($D28,'BIS Data'!$B$18:$B$27,0),MATCH(P$22,'BIS Data'!$C$17:$L$17,0)))))</f>
        <v>915676042135.30042</v>
      </c>
      <c r="Q28" s="122">
        <f ca="1">Q$23*$G28*MAX(-1,MIN(1,'BIS Data'!$H$5*IF(OR($C28&amp;$D28=Q$21&amp;Q$22,$B28&lt;&gt;Q$20),0,OFFSET('BIS Data'!$B$17,MATCH($D28,'BIS Data'!$B$18:$B$27,0),MATCH(Q$22,'BIS Data'!$C$17:$L$17,0)))))</f>
        <v>493711951.16971344</v>
      </c>
      <c r="R28" s="123">
        <f ca="1">R$23*$G28*MAX(-1,MIN(1,'BIS Data'!$H$5*IF(OR($C28&amp;$D28=R$21&amp;R$22,$B28&lt;&gt;R$20),0,OFFSET('BIS Data'!$B$17,MATCH($D28,'BIS Data'!$B$18:$B$27,0),MATCH(R$22,'BIS Data'!$C$17:$L$17,0)))))</f>
        <v>-8538787.912368929</v>
      </c>
    </row>
    <row r="29" spans="2:18" x14ac:dyDescent="0.3">
      <c r="B29" s="115" t="str">
        <f>'Pivot Data'!B9</f>
        <v>USD</v>
      </c>
      <c r="C29" s="116" t="str">
        <f>'Pivot Data'!C9</f>
        <v>SOFR</v>
      </c>
      <c r="D29" s="119">
        <f>'Pivot Data'!D9</f>
        <v>5</v>
      </c>
      <c r="E29" s="78">
        <f>'Pivot Data'!E9</f>
        <v>436645199.99999994</v>
      </c>
      <c r="F29" s="22">
        <f>IF(ISNUMBER(MATCH(B29,'BIS Data'!$L$3:$L$10,0)),1/'BIS Data'!$H$8,1)*VLOOKUP(D29,'BIS Data'!$B$3:$C$14,2,0)</f>
        <v>1.0606601717798212E-2</v>
      </c>
      <c r="G29" s="78">
        <f t="shared" si="5"/>
        <v>4631321.728388343</v>
      </c>
      <c r="H29" s="17">
        <f t="shared" si="6"/>
        <v>21449140951841.988</v>
      </c>
      <c r="I29" s="136">
        <f t="shared" ca="1" si="4"/>
        <v>-221818627.08618671</v>
      </c>
      <c r="J29" s="17"/>
      <c r="K29" s="121">
        <f ca="1">K$23*$G29*MAX(-1,MIN(1,'BIS Data'!$H$5*IF(OR($C29&amp;$D29=K$21&amp;K$22,$B29&lt;&gt;K$20),0,OFFSET('BIS Data'!$B$17,MATCH($D29,'BIS Data'!$B$18:$B$27,0),MATCH(K$22,'BIS Data'!$C$17:$L$17,0)))))</f>
        <v>-48670685149.179871</v>
      </c>
      <c r="L29" s="122">
        <f ca="1">L$23*$G29*MAX(-1,MIN(1,'BIS Data'!$H$5*IF(OR($C29&amp;$D29=L$21&amp;L$22,$B29&lt;&gt;L$20),0,OFFSET('BIS Data'!$B$17,MATCH($D29,'BIS Data'!$B$18:$B$27,0),MATCH(L$22,'BIS Data'!$C$17:$L$17,0)))))</f>
        <v>-1085976081.8728404</v>
      </c>
      <c r="M29" s="122">
        <f ca="1">M$23*$G29*MAX(-1,MIN(1,'BIS Data'!$H$5*IF(OR($C29&amp;$D29=M$21&amp;M$22,$B29&lt;&gt;M$20),0,OFFSET('BIS Data'!$B$17,MATCH($D29,'BIS Data'!$B$18:$B$27,0),MATCH(M$22,'BIS Data'!$C$17:$L$17,0)))))</f>
        <v>253068065628.13046</v>
      </c>
      <c r="N29" s="122">
        <f ca="1">N$23*$G29*MAX(-1,MIN(1,'BIS Data'!$H$5*IF(OR($C29&amp;$D29=N$21&amp;N$22,$B29&lt;&gt;N$20),0,OFFSET('BIS Data'!$B$17,MATCH($D29,'BIS Data'!$B$18:$B$27,0),MATCH(N$22,'BIS Data'!$C$17:$L$17,0)))))</f>
        <v>384047610514.94073</v>
      </c>
      <c r="O29" s="122">
        <f ca="1">O$23*$G29*MAX(-1,MIN(1,'BIS Data'!$H$5*IF(OR($C29&amp;$D29=O$21&amp;O$22,$B29&lt;&gt;O$20),0,OFFSET('BIS Data'!$B$17,MATCH($D29,'BIS Data'!$B$18:$B$27,0),MATCH(O$22,'BIS Data'!$C$17:$L$17,0)))))</f>
        <v>915676042135.30042</v>
      </c>
      <c r="P29" s="122">
        <f ca="1">P$23*$G29*MAX(-1,MIN(1,'BIS Data'!$H$5*IF(OR($C29&amp;$D29=P$21&amp;P$22,$B29&lt;&gt;P$20),0,OFFSET('BIS Data'!$B$17,MATCH($D29,'BIS Data'!$B$18:$B$27,0),MATCH(P$22,'BIS Data'!$C$17:$L$17,0)))))</f>
        <v>0</v>
      </c>
      <c r="Q29" s="122">
        <f ca="1">Q$23*$G29*MAX(-1,MIN(1,'BIS Data'!$H$5*IF(OR($C29&amp;$D29=Q$21&amp;Q$22,$B29&lt;&gt;Q$20),0,OFFSET('BIS Data'!$B$17,MATCH($D29,'BIS Data'!$B$18:$B$27,0),MATCH(Q$22,'BIS Data'!$C$17:$L$17,0)))))</f>
        <v>11798521319.377714</v>
      </c>
      <c r="R29" s="123">
        <f ca="1">R$23*$G29*MAX(-1,MIN(1,'BIS Data'!$H$5*IF(OR($C29&amp;$D29=R$21&amp;R$22,$B29&lt;&gt;R$20),0,OFFSET('BIS Data'!$B$17,MATCH($D29,'BIS Data'!$B$18:$B$27,0),MATCH(R$22,'BIS Data'!$C$17:$L$17,0)))))</f>
        <v>-208178587.57939917</v>
      </c>
    </row>
    <row r="30" spans="2:18" x14ac:dyDescent="0.3">
      <c r="B30" s="115" t="str">
        <f>'Pivot Data'!B10</f>
        <v>USD</v>
      </c>
      <c r="C30" s="116" t="str">
        <f>'Pivot Data'!C10</f>
        <v>SOFR</v>
      </c>
      <c r="D30" s="119">
        <f>'Pivot Data'!D10</f>
        <v>10</v>
      </c>
      <c r="E30" s="78">
        <f>'Pivot Data'!E10</f>
        <v>247500</v>
      </c>
      <c r="F30" s="22">
        <f>IF(ISNUMBER(MATCH(B30,'BIS Data'!$L$3:$L$10,0)),1/'BIS Data'!$H$8,1)*VLOOKUP(D30,'BIS Data'!$B$3:$C$14,2,0)</f>
        <v>1.0606601717798212E-2</v>
      </c>
      <c r="G30" s="78">
        <f t="shared" si="5"/>
        <v>2625.1339251550576</v>
      </c>
      <c r="H30" s="17">
        <f t="shared" si="6"/>
        <v>6891328.1249999991</v>
      </c>
      <c r="I30" s="136">
        <f t="shared" si="4"/>
        <v>0</v>
      </c>
      <c r="J30" s="17"/>
      <c r="K30" s="121">
        <f ca="1">K$23*$G30*MAX(-1,MIN(1,'BIS Data'!$H$5*IF(OR($C30&amp;$D30=K$21&amp;K$22,$B30&lt;&gt;K$20),0,OFFSET('BIS Data'!$B$17,MATCH($D30,'BIS Data'!$B$18:$B$27,0),MATCH(K$22,'BIS Data'!$C$17:$L$17,0)))))</f>
        <v>-19512899.999999996</v>
      </c>
      <c r="L30" s="122">
        <f ca="1">L$23*$G30*MAX(-1,MIN(1,'BIS Data'!$H$5*IF(OR($C30&amp;$D30=L$21&amp;L$22,$B30&lt;&gt;L$20),0,OFFSET('BIS Data'!$B$17,MATCH($D30,'BIS Data'!$B$18:$B$27,0),MATCH(L$22,'BIS Data'!$C$17:$L$17,0)))))</f>
        <v>-456014.26512256515</v>
      </c>
      <c r="M30" s="122">
        <f ca="1">M$23*$G30*MAX(-1,MIN(1,'BIS Data'!$H$5*IF(OR($C30&amp;$D30=M$21&amp;M$22,$B30&lt;&gt;M$20),0,OFFSET('BIS Data'!$B$17,MATCH($D30,'BIS Data'!$B$18:$B$27,0),MATCH(M$22,'BIS Data'!$C$17:$L$17,0)))))</f>
        <v>123463813.20460296</v>
      </c>
      <c r="N30" s="122">
        <f ca="1">N$23*$G30*MAX(-1,MIN(1,'BIS Data'!$H$5*IF(OR($C30&amp;$D30=N$21&amp;N$22,$B30&lt;&gt;N$20),0,OFFSET('BIS Data'!$B$17,MATCH($D30,'BIS Data'!$B$18:$B$27,0),MATCH(N$22,'BIS Data'!$C$17:$L$17,0)))))</f>
        <v>201957271.26069891</v>
      </c>
      <c r="O30" s="122">
        <f ca="1">O$23*$G30*MAX(-1,MIN(1,'BIS Data'!$H$5*IF(OR($C30&amp;$D30=O$21&amp;O$22,$B30&lt;&gt;O$20),0,OFFSET('BIS Data'!$B$17,MATCH($D30,'BIS Data'!$B$18:$B$27,0),MATCH(O$22,'BIS Data'!$C$17:$L$17,0)))))</f>
        <v>493711951.16971344</v>
      </c>
      <c r="P30" s="122">
        <f ca="1">P$23*$G30*MAX(-1,MIN(1,'BIS Data'!$H$5*IF(OR($C30&amp;$D30=P$21&amp;P$22,$B30&lt;&gt;P$20),0,OFFSET('BIS Data'!$B$17,MATCH($D30,'BIS Data'!$B$18:$B$27,0),MATCH(P$22,'BIS Data'!$C$17:$L$17,0)))))</f>
        <v>11798521319.377714</v>
      </c>
      <c r="Q30" s="122">
        <f ca="1">Q$23*$G30*MAX(-1,MIN(1,'BIS Data'!$H$5*IF(OR($C30&amp;$D30=Q$21&amp;Q$22,$B30&lt;&gt;Q$20),0,OFFSET('BIS Data'!$B$17,MATCH($D30,'BIS Data'!$B$18:$B$27,0),MATCH(Q$22,'BIS Data'!$C$17:$L$17,0)))))</f>
        <v>0</v>
      </c>
      <c r="R30" s="123">
        <f ca="1">R$23*$G30*MAX(-1,MIN(1,'BIS Data'!$H$5*IF(OR($C30&amp;$D30=R$21&amp;R$22,$B30&lt;&gt;R$20),0,OFFSET('BIS Data'!$B$17,MATCH($D30,'BIS Data'!$B$18:$B$27,0),MATCH(R$22,'BIS Data'!$C$17:$L$17,0)))))</f>
        <v>-123431.44755745247</v>
      </c>
    </row>
    <row r="31" spans="2:18" ht="15" thickBot="1" x14ac:dyDescent="0.35">
      <c r="B31" s="117" t="str">
        <f>'Pivot Data'!B11</f>
        <v>USD</v>
      </c>
      <c r="C31" s="118" t="str">
        <f>'Pivot Data'!C11</f>
        <v>SOFR</v>
      </c>
      <c r="D31" s="120">
        <f>'Pivot Data'!D11</f>
        <v>15</v>
      </c>
      <c r="E31" s="79">
        <f>'Pivot Data'!E11</f>
        <v>-4500</v>
      </c>
      <c r="F31" s="64">
        <f>IF(ISNUMBER(MATCH(B31,'BIS Data'!$L$3:$L$10,0)),1/'BIS Data'!$H$8,1)*VLOOKUP(D31,'BIS Data'!$B$3:$C$14,2,0)</f>
        <v>1.0606601717798212E-2</v>
      </c>
      <c r="G31" s="79">
        <f t="shared" si="5"/>
        <v>-47.729707730091953</v>
      </c>
      <c r="H31" s="18">
        <f t="shared" si="6"/>
        <v>2278.1249999999995</v>
      </c>
      <c r="I31" s="137">
        <f t="shared" si="4"/>
        <v>0</v>
      </c>
      <c r="J31" s="17"/>
      <c r="K31" s="124">
        <f ca="1">K$23*$G31*MAX(-1,MIN(1,'BIS Data'!$H$5*IF(OR($C31&amp;$D31=K$21&amp;K$22,$B31&lt;&gt;K$20),0,OFFSET('BIS Data'!$B$17,MATCH($D31,'BIS Data'!$B$18:$B$27,0),MATCH(K$22,'BIS Data'!$C$17:$L$17,0)))))</f>
        <v>354779.99999999994</v>
      </c>
      <c r="L31" s="125">
        <f ca="1">L$23*$G31*MAX(-1,MIN(1,'BIS Data'!$H$5*IF(OR($C31&amp;$D31=L$21&amp;L$22,$B31&lt;&gt;L$20),0,OFFSET('BIS Data'!$B$17,MATCH($D31,'BIS Data'!$B$18:$B$27,0),MATCH(L$22,'BIS Data'!$C$17:$L$17,0)))))</f>
        <v>6142.2486635196346</v>
      </c>
      <c r="M31" s="125">
        <f ca="1">M$23*$G31*MAX(-1,MIN(1,'BIS Data'!$H$5*IF(OR($C31&amp;$D31=M$21&amp;M$22,$B31&lt;&gt;M$20),0,OFFSET('BIS Data'!$B$17,MATCH($D31,'BIS Data'!$B$18:$B$27,0),MATCH(M$22,'BIS Data'!$C$17:$L$17,0)))))</f>
        <v>-1932114.3422737299</v>
      </c>
      <c r="N31" s="125">
        <f ca="1">N$23*$G31*MAX(-1,MIN(1,'BIS Data'!$H$5*IF(OR($C31&amp;$D31=N$21&amp;N$22,$B31&lt;&gt;N$20),0,OFFSET('BIS Data'!$B$17,MATCH($D31,'BIS Data'!$B$18:$B$27,0),MATCH(N$22,'BIS Data'!$C$17:$L$17,0)))))</f>
        <v>-3406628.053250947</v>
      </c>
      <c r="O31" s="125">
        <f ca="1">O$23*$G31*MAX(-1,MIN(1,'BIS Data'!$H$5*IF(OR($C31&amp;$D31=O$21&amp;O$22,$B31&lt;&gt;O$20),0,OFFSET('BIS Data'!$B$17,MATCH($D31,'BIS Data'!$B$18:$B$27,0),MATCH(O$22,'BIS Data'!$C$17:$L$17,0)))))</f>
        <v>-8538787.912368929</v>
      </c>
      <c r="P31" s="125">
        <f ca="1">P$23*$G31*MAX(-1,MIN(1,'BIS Data'!$H$5*IF(OR($C31&amp;$D31=P$21&amp;P$22,$B31&lt;&gt;P$20),0,OFFSET('BIS Data'!$B$17,MATCH($D31,'BIS Data'!$B$18:$B$27,0),MATCH(P$22,'BIS Data'!$C$17:$L$17,0)))))</f>
        <v>-208178587.57939917</v>
      </c>
      <c r="Q31" s="125">
        <f ca="1">Q$23*$G31*MAX(-1,MIN(1,'BIS Data'!$H$5*IF(OR($C31&amp;$D31=Q$21&amp;Q$22,$B31&lt;&gt;Q$20),0,OFFSET('BIS Data'!$B$17,MATCH($D31,'BIS Data'!$B$18:$B$27,0),MATCH(Q$22,'BIS Data'!$C$17:$L$17,0)))))</f>
        <v>-123431.44755745247</v>
      </c>
      <c r="R31" s="126">
        <f ca="1">R$23*$G31*MAX(-1,MIN(1,'BIS Data'!$H$5*IF(OR($C31&amp;$D31=R$21&amp;R$22,$B31&lt;&gt;R$20),0,OFFSET('BIS Data'!$B$17,MATCH($D31,'BIS Data'!$B$18:$B$27,0),MATCH(R$22,'BIS Data'!$C$17:$L$17,0)))))</f>
        <v>0</v>
      </c>
    </row>
    <row r="32" spans="2:18" x14ac:dyDescent="0.3">
      <c r="J32" s="10"/>
    </row>
  </sheetData>
  <sheetProtection algorithmName="SHA-512" hashValue="YpikKzB1ShEloHY0x39Uh75lpPArZC/G2SbSppw/Wa7McTQEhi54W6CSwp0F75L0eIJCtx1Kd8fjxRZlttSp3w==" saltValue="EtrKOG3tesdf1timMiJtvw==" spinCount="100000" sheet="1" objects="1" scenarios="1"/>
  <mergeCells count="2">
    <mergeCell ref="B2:C2"/>
    <mergeCell ref="K19:R19"/>
  </mergeCells>
  <conditionalFormatting sqref="K24:R3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8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499984740745262"/>
  </sheetPr>
  <dimension ref="A1:J9"/>
  <sheetViews>
    <sheetView workbookViewId="0">
      <selection activeCell="J6" sqref="J6"/>
    </sheetView>
  </sheetViews>
  <sheetFormatPr defaultColWidth="8.77734375" defaultRowHeight="14.4" x14ac:dyDescent="0.3"/>
  <cols>
    <col min="1" max="1" width="10.109375" bestFit="1" customWidth="1"/>
    <col min="2" max="2" width="12.109375" bestFit="1" customWidth="1"/>
    <col min="3" max="3" width="6.33203125" bestFit="1" customWidth="1"/>
    <col min="4" max="4" width="8" bestFit="1" customWidth="1"/>
    <col min="5" max="5" width="8.109375" bestFit="1" customWidth="1"/>
    <col min="6" max="6" width="10.44140625" bestFit="1" customWidth="1"/>
    <col min="7" max="7" width="10" style="29" bestFit="1" customWidth="1"/>
    <col min="8" max="8" width="15.33203125" style="30" bestFit="1" customWidth="1"/>
    <col min="9" max="9" width="9.77734375" bestFit="1" customWidth="1"/>
    <col min="10" max="10" width="40.109375" bestFit="1" customWidth="1"/>
  </cols>
  <sheetData>
    <row r="1" spans="1:10" x14ac:dyDescent="0.3">
      <c r="A1" s="65" t="s">
        <v>106</v>
      </c>
      <c r="B1" s="65" t="s">
        <v>91</v>
      </c>
      <c r="C1" s="65" t="s">
        <v>18</v>
      </c>
      <c r="D1" s="65" t="s">
        <v>20</v>
      </c>
      <c r="E1" s="65" t="s">
        <v>64</v>
      </c>
      <c r="F1" s="65" t="s">
        <v>95</v>
      </c>
      <c r="G1" s="66" t="s">
        <v>92</v>
      </c>
      <c r="H1" s="67" t="s">
        <v>93</v>
      </c>
    </row>
    <row r="2" spans="1:10" x14ac:dyDescent="0.3">
      <c r="A2" t="s">
        <v>105</v>
      </c>
      <c r="B2" t="s">
        <v>80</v>
      </c>
      <c r="C2" t="s">
        <v>0</v>
      </c>
      <c r="D2" t="s">
        <v>22</v>
      </c>
      <c r="E2">
        <v>0.25</v>
      </c>
      <c r="F2">
        <v>1</v>
      </c>
      <c r="G2" s="142">
        <v>-109.5</v>
      </c>
      <c r="H2" s="143">
        <f t="shared" ref="H2:H9" si="0">G2/(F2/10000)</f>
        <v>-1095000</v>
      </c>
      <c r="J2" s="161" t="s">
        <v>104</v>
      </c>
    </row>
    <row r="3" spans="1:10" x14ac:dyDescent="0.3">
      <c r="A3" t="s">
        <v>105</v>
      </c>
      <c r="B3" t="s">
        <v>80</v>
      </c>
      <c r="C3" t="s">
        <v>0</v>
      </c>
      <c r="D3" t="s">
        <v>22</v>
      </c>
      <c r="E3">
        <v>0.5</v>
      </c>
      <c r="F3">
        <v>1</v>
      </c>
      <c r="G3" s="142">
        <v>-1.81</v>
      </c>
      <c r="H3" s="143">
        <f t="shared" si="0"/>
        <v>-18100</v>
      </c>
    </row>
    <row r="4" spans="1:10" x14ac:dyDescent="0.3">
      <c r="A4" t="s">
        <v>105</v>
      </c>
      <c r="B4" t="s">
        <v>80</v>
      </c>
      <c r="C4" t="s">
        <v>0</v>
      </c>
      <c r="D4" t="s">
        <v>22</v>
      </c>
      <c r="E4">
        <v>1</v>
      </c>
      <c r="F4">
        <v>1</v>
      </c>
      <c r="G4" s="142">
        <v>387.24</v>
      </c>
      <c r="H4" s="143">
        <f t="shared" si="0"/>
        <v>3872400</v>
      </c>
      <c r="J4" t="s">
        <v>107</v>
      </c>
    </row>
    <row r="5" spans="1:10" x14ac:dyDescent="0.3">
      <c r="A5" t="s">
        <v>105</v>
      </c>
      <c r="B5" t="s">
        <v>80</v>
      </c>
      <c r="C5" t="s">
        <v>0</v>
      </c>
      <c r="D5" t="s">
        <v>22</v>
      </c>
      <c r="E5">
        <v>2</v>
      </c>
      <c r="F5">
        <v>1</v>
      </c>
      <c r="G5" s="142">
        <v>652.5</v>
      </c>
      <c r="H5" s="143">
        <f t="shared" si="0"/>
        <v>6525000</v>
      </c>
      <c r="J5" t="s">
        <v>108</v>
      </c>
    </row>
    <row r="6" spans="1:10" x14ac:dyDescent="0.3">
      <c r="A6" t="s">
        <v>105</v>
      </c>
      <c r="B6" t="s">
        <v>80</v>
      </c>
      <c r="C6" t="s">
        <v>0</v>
      </c>
      <c r="D6" t="s">
        <v>22</v>
      </c>
      <c r="E6">
        <v>3</v>
      </c>
      <c r="F6">
        <v>1</v>
      </c>
      <c r="G6" s="142">
        <v>1648.89</v>
      </c>
      <c r="H6" s="143">
        <f t="shared" si="0"/>
        <v>16488900</v>
      </c>
    </row>
    <row r="7" spans="1:10" x14ac:dyDescent="0.3">
      <c r="A7" t="s">
        <v>105</v>
      </c>
      <c r="B7" t="s">
        <v>80</v>
      </c>
      <c r="C7" t="s">
        <v>0</v>
      </c>
      <c r="D7" t="s">
        <v>22</v>
      </c>
      <c r="E7">
        <v>5</v>
      </c>
      <c r="F7">
        <v>1</v>
      </c>
      <c r="G7" s="142">
        <v>43664.52</v>
      </c>
      <c r="H7" s="143">
        <f t="shared" si="0"/>
        <v>436645199.99999994</v>
      </c>
    </row>
    <row r="8" spans="1:10" x14ac:dyDescent="0.3">
      <c r="A8" t="s">
        <v>105</v>
      </c>
      <c r="B8" t="s">
        <v>80</v>
      </c>
      <c r="C8" t="s">
        <v>0</v>
      </c>
      <c r="D8" t="s">
        <v>22</v>
      </c>
      <c r="E8">
        <v>10</v>
      </c>
      <c r="F8">
        <v>1</v>
      </c>
      <c r="G8" s="142">
        <v>24.75</v>
      </c>
      <c r="H8" s="143">
        <f t="shared" si="0"/>
        <v>247500</v>
      </c>
    </row>
    <row r="9" spans="1:10" x14ac:dyDescent="0.3">
      <c r="A9" t="s">
        <v>105</v>
      </c>
      <c r="B9" t="s">
        <v>80</v>
      </c>
      <c r="C9" t="s">
        <v>0</v>
      </c>
      <c r="D9" t="s">
        <v>22</v>
      </c>
      <c r="E9">
        <v>15</v>
      </c>
      <c r="F9">
        <v>1</v>
      </c>
      <c r="G9" s="142">
        <v>-0.45</v>
      </c>
      <c r="H9" s="143">
        <f t="shared" si="0"/>
        <v>-4500</v>
      </c>
    </row>
  </sheetData>
  <sheetProtection algorithmName="SHA-512" hashValue="cBBKVDpjeiOoQe3yElpNX0/akaVvdAsaisZWEkHCtUIH5zv8sBTNoF+j9TVVL0k7qf36DaUBVnQF2cUQ0P1O0Q==" saltValue="mfQvEi/RXVYr4NrYhh41Jg==" spinCount="100000" sheet="1" objects="1" scenarios="1"/>
  <autoFilter ref="B1:H8" xr:uid="{00000000-0009-0000-0000-000009000000}"/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</sheetPr>
  <dimension ref="B1:E27"/>
  <sheetViews>
    <sheetView workbookViewId="0">
      <selection activeCell="J18" sqref="J18"/>
    </sheetView>
  </sheetViews>
  <sheetFormatPr defaultColWidth="8.77734375" defaultRowHeight="14.4" x14ac:dyDescent="0.3"/>
  <cols>
    <col min="2" max="2" width="6.33203125" bestFit="1" customWidth="1"/>
    <col min="3" max="3" width="8" bestFit="1" customWidth="1"/>
    <col min="4" max="4" width="8.109375" bestFit="1" customWidth="1"/>
    <col min="5" max="5" width="18.44140625" style="4" bestFit="1" customWidth="1"/>
    <col min="6" max="6" width="10.6640625" bestFit="1" customWidth="1"/>
    <col min="7" max="7" width="13.77734375" bestFit="1" customWidth="1"/>
  </cols>
  <sheetData>
    <row r="1" spans="2:5" x14ac:dyDescent="0.3">
      <c r="E1"/>
    </row>
    <row r="2" spans="2:5" x14ac:dyDescent="0.3">
      <c r="E2"/>
    </row>
    <row r="3" spans="2:5" x14ac:dyDescent="0.3">
      <c r="B3" s="19" t="s">
        <v>18</v>
      </c>
      <c r="C3" s="19" t="s">
        <v>20</v>
      </c>
      <c r="D3" s="19" t="s">
        <v>64</v>
      </c>
      <c r="E3" t="s">
        <v>94</v>
      </c>
    </row>
    <row r="4" spans="2:5" x14ac:dyDescent="0.3">
      <c r="B4" t="s">
        <v>0</v>
      </c>
      <c r="C4" t="s">
        <v>22</v>
      </c>
      <c r="D4">
        <v>0.25</v>
      </c>
      <c r="E4" s="20">
        <v>-1095000</v>
      </c>
    </row>
    <row r="5" spans="2:5" x14ac:dyDescent="0.3">
      <c r="B5" t="s">
        <v>0</v>
      </c>
      <c r="C5" t="s">
        <v>22</v>
      </c>
      <c r="D5">
        <v>0.5</v>
      </c>
      <c r="E5" s="20">
        <v>-18100</v>
      </c>
    </row>
    <row r="6" spans="2:5" x14ac:dyDescent="0.3">
      <c r="B6" t="s">
        <v>0</v>
      </c>
      <c r="C6" t="s">
        <v>22</v>
      </c>
      <c r="D6">
        <v>1</v>
      </c>
      <c r="E6" s="20">
        <v>3872400</v>
      </c>
    </row>
    <row r="7" spans="2:5" x14ac:dyDescent="0.3">
      <c r="B7" t="s">
        <v>0</v>
      </c>
      <c r="C7" t="s">
        <v>22</v>
      </c>
      <c r="D7">
        <v>2</v>
      </c>
      <c r="E7" s="20">
        <v>6525000</v>
      </c>
    </row>
    <row r="8" spans="2:5" x14ac:dyDescent="0.3">
      <c r="B8" t="s">
        <v>0</v>
      </c>
      <c r="C8" t="s">
        <v>22</v>
      </c>
      <c r="D8">
        <v>3</v>
      </c>
      <c r="E8" s="20">
        <v>16488900</v>
      </c>
    </row>
    <row r="9" spans="2:5" x14ac:dyDescent="0.3">
      <c r="B9" t="s">
        <v>0</v>
      </c>
      <c r="C9" t="s">
        <v>22</v>
      </c>
      <c r="D9">
        <v>5</v>
      </c>
      <c r="E9" s="20">
        <v>436645199.99999994</v>
      </c>
    </row>
    <row r="10" spans="2:5" x14ac:dyDescent="0.3">
      <c r="B10" t="s">
        <v>0</v>
      </c>
      <c r="C10" t="s">
        <v>22</v>
      </c>
      <c r="D10">
        <v>10</v>
      </c>
      <c r="E10" s="20">
        <v>247500</v>
      </c>
    </row>
    <row r="11" spans="2:5" x14ac:dyDescent="0.3">
      <c r="B11" t="s">
        <v>0</v>
      </c>
      <c r="C11" t="s">
        <v>22</v>
      </c>
      <c r="D11">
        <v>15</v>
      </c>
      <c r="E11" s="20">
        <v>-4500</v>
      </c>
    </row>
    <row r="12" spans="2:5" x14ac:dyDescent="0.3">
      <c r="E12"/>
    </row>
    <row r="13" spans="2:5" x14ac:dyDescent="0.3">
      <c r="E13"/>
    </row>
    <row r="14" spans="2:5" x14ac:dyDescent="0.3">
      <c r="E14"/>
    </row>
    <row r="15" spans="2:5" x14ac:dyDescent="0.3">
      <c r="E15"/>
    </row>
    <row r="16" spans="2:5" x14ac:dyDescent="0.3">
      <c r="E16"/>
    </row>
    <row r="17" spans="5:5" x14ac:dyDescent="0.3">
      <c r="E17"/>
    </row>
    <row r="18" spans="5:5" x14ac:dyDescent="0.3">
      <c r="E18"/>
    </row>
    <row r="19" spans="5:5" x14ac:dyDescent="0.3">
      <c r="E19"/>
    </row>
    <row r="20" spans="5:5" x14ac:dyDescent="0.3">
      <c r="E20"/>
    </row>
    <row r="21" spans="5:5" x14ac:dyDescent="0.3">
      <c r="E21"/>
    </row>
    <row r="22" spans="5:5" x14ac:dyDescent="0.3">
      <c r="E22"/>
    </row>
    <row r="23" spans="5:5" x14ac:dyDescent="0.3">
      <c r="E23"/>
    </row>
    <row r="24" spans="5:5" x14ac:dyDescent="0.3">
      <c r="E24"/>
    </row>
    <row r="25" spans="5:5" x14ac:dyDescent="0.3">
      <c r="E25"/>
    </row>
    <row r="26" spans="5:5" x14ac:dyDescent="0.3">
      <c r="E26"/>
    </row>
    <row r="27" spans="5:5" x14ac:dyDescent="0.3">
      <c r="E27"/>
    </row>
  </sheetData>
  <sheetProtection algorithmName="SHA-512" hashValue="BRILJEAayiDs1mwWY5jr3nzDlvfN2amoFga8MLJSk7XAKM97gTZky4WmjIKy4KPu4EnhuYKTbXA3IXSBzuZIkQ==" saltValue="hTnIvEDShrhDsx9MMBg03g==" spinCount="100000" sheet="1" objects="1" scenarios="1"/>
  <pageMargins left="0.7" right="0.7" top="0.75" bottom="0.75" header="0.3" footer="0.3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B2:B6"/>
  <sheetViews>
    <sheetView zoomScaleNormal="100" workbookViewId="0">
      <selection activeCell="F32" sqref="F32"/>
    </sheetView>
  </sheetViews>
  <sheetFormatPr defaultColWidth="8.77734375" defaultRowHeight="14.4" x14ac:dyDescent="0.3"/>
  <cols>
    <col min="2" max="2" width="19.5546875" bestFit="1" customWidth="1"/>
    <col min="6" max="6" width="6.44140625" bestFit="1" customWidth="1"/>
  </cols>
  <sheetData>
    <row r="2" spans="2:2" x14ac:dyDescent="0.3">
      <c r="B2" s="65" t="s">
        <v>87</v>
      </c>
    </row>
    <row r="3" spans="2:2" x14ac:dyDescent="0.3">
      <c r="B3" t="s">
        <v>81</v>
      </c>
    </row>
    <row r="4" spans="2:2" x14ac:dyDescent="0.3">
      <c r="B4" t="s">
        <v>82</v>
      </c>
    </row>
    <row r="5" spans="2:2" x14ac:dyDescent="0.3">
      <c r="B5" t="s">
        <v>2</v>
      </c>
    </row>
    <row r="6" spans="2:2" x14ac:dyDescent="0.3">
      <c r="B6" t="s">
        <v>83</v>
      </c>
    </row>
  </sheetData>
  <sheetProtection algorithmName="SHA-512" hashValue="DulGiJ0KXvjPN9ITBwQcoLI589N2HiF7zlu51rEgQ/oobo7lZLQ1V3JmO8Kp4FdkfKewAFNG2IOIk+QA9LvhuA==" saltValue="5Pfz/mkor/o8fQl1yhzngg==" spinCount="100000" sheet="1" objects="1" scenarios="1"/>
  <pageMargins left="0.7" right="0.7" top="0.75" bottom="0.75" header="0.3" footer="0.3"/>
  <pageSetup paperSize="9" orientation="portrait" horizontalDpi="0" verticalDpi="0"/>
  <headerFooter>
    <oddHeader>&amp;L&amp;F&amp;CConfidential - Property of TG Investments and Research</oddHeader>
    <oddFooter>&amp;C&amp;A</oddFooter>
  </headerFooter>
</worksheet>
</file>

<file path=docMetadata/LabelInfo.xml><?xml version="1.0" encoding="utf-8"?>
<clbl:labelList xmlns:clbl="http://schemas.microsoft.com/office/2020/mipLabelMetadata">
  <clbl:label id="{0b9b90da-3fe1-457a-b340-f1b67e1024fb}" enabled="0" method="" siteId="{0b9b90da-3fe1-457a-b340-f1b67e1024f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BIS Data</vt:lpstr>
      <vt:lpstr>Consolidated View</vt:lpstr>
      <vt:lpstr>GIRR Delta Aggregations</vt:lpstr>
      <vt:lpstr>Trading System Data</vt:lpstr>
      <vt:lpstr>Pivot Data</vt:lpstr>
      <vt:lpstr>Misc</vt:lpstr>
      <vt:lpstr>CorrelationScenario</vt:lpstr>
      <vt:lpstr>'BIS Data'!Print_Area</vt:lpstr>
      <vt:lpstr>'Consolidated View'!Print_Area</vt:lpstr>
      <vt:lpstr>'GIRR Delta Aggregations'!Print_Area</vt:lpstr>
      <vt:lpstr>Misc!Print_Area</vt:lpstr>
      <vt:lpstr>'Pivot Data'!Print_Area</vt:lpstr>
      <vt:lpstr>'Trading System Data'!Print_Area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2024-11-12T11:07:52Z</cp:lastPrinted>
  <dcterms:created xsi:type="dcterms:W3CDTF">2006-09-16T00:00:00Z</dcterms:created>
  <dcterms:modified xsi:type="dcterms:W3CDTF">2024-11-19T10:58:19Z</dcterms:modified>
  <cp:category/>
  <cp:contentStatus/>
</cp:coreProperties>
</file>